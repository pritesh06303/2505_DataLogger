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\Project_HJT\2505_IDS_DataLogger\2505_IDS_DL_BAT\Project Outputs for 2505_IDS_DL_BAT\"/>
    </mc:Choice>
  </mc:AlternateContent>
  <xr:revisionPtr revIDLastSave="0" documentId="13_ncr:1_{2B8EF209-1ABE-48AA-B8F5-C8AE55C05CDF}" xr6:coauthVersionLast="47" xr6:coauthVersionMax="47" xr10:uidLastSave="{00000000-0000-0000-0000-000000000000}"/>
  <bookViews>
    <workbookView xWindow="-108" yWindow="-108" windowWidth="23256" windowHeight="12456" activeTab="1" xr2:uid="{C6954699-A516-473B-B1D6-FCC59840E4AB}"/>
  </bookViews>
  <sheets>
    <sheet name="BOM_2505_IDS_DL_BAT" sheetId="1" r:id="rId1"/>
    <sheet name="BOM_2505_IDS_DL_PROD" sheetId="3" r:id="rId2"/>
  </sheets>
  <definedNames>
    <definedName name="_xlnm.Print_Titles" localSheetId="0">BOM_2505_IDS_DL_BAT!$2:$2</definedName>
    <definedName name="_xlnm.Print_Titles" localSheetId="1">BOM_2505_IDS_DL_PROD!$2:$2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2" i="1" l="1"/>
  <c r="U42" i="1"/>
  <c r="V42" i="1"/>
  <c r="W42" i="1"/>
  <c r="X42" i="1"/>
  <c r="Y42" i="1"/>
  <c r="Y31" i="1"/>
  <c r="Y32" i="1" s="1"/>
  <c r="X31" i="1"/>
  <c r="W31" i="1"/>
  <c r="W32" i="1" s="1"/>
  <c r="V31" i="1"/>
  <c r="V32" i="1" s="1"/>
  <c r="V33" i="1" s="1"/>
  <c r="V34" i="1" s="1"/>
  <c r="U40" i="1"/>
  <c r="U41" i="1"/>
  <c r="U31" i="1"/>
  <c r="U32" i="1" s="1"/>
  <c r="T31" i="1"/>
  <c r="T32" i="1"/>
  <c r="X32" i="1"/>
  <c r="X33" i="1" s="1"/>
  <c r="H27" i="1"/>
  <c r="T27" i="1" s="1"/>
  <c r="I27" i="1"/>
  <c r="U27" i="1" s="1"/>
  <c r="J27" i="1"/>
  <c r="K27" i="1"/>
  <c r="W27" i="1" s="1"/>
  <c r="L27" i="1"/>
  <c r="X27" i="1" s="1"/>
  <c r="M27" i="1"/>
  <c r="V27" i="1"/>
  <c r="Y27" i="1"/>
  <c r="Y5" i="1"/>
  <c r="U6" i="1"/>
  <c r="V6" i="1"/>
  <c r="W6" i="1"/>
  <c r="X6" i="1"/>
  <c r="Y7" i="1"/>
  <c r="V11" i="1"/>
  <c r="W11" i="1"/>
  <c r="V17" i="1"/>
  <c r="W17" i="1"/>
  <c r="X17" i="1"/>
  <c r="Y17" i="1"/>
  <c r="U18" i="1"/>
  <c r="W18" i="1"/>
  <c r="X18" i="1"/>
  <c r="Y20" i="1"/>
  <c r="U21" i="1"/>
  <c r="T5" i="1"/>
  <c r="T6" i="1"/>
  <c r="T7" i="1"/>
  <c r="T8" i="1"/>
  <c r="T11" i="1"/>
  <c r="T23" i="1"/>
  <c r="H26" i="1"/>
  <c r="T26" i="1" s="1"/>
  <c r="I26" i="1"/>
  <c r="U26" i="1" s="1"/>
  <c r="J26" i="1"/>
  <c r="V26" i="1" s="1"/>
  <c r="K26" i="1"/>
  <c r="W26" i="1" s="1"/>
  <c r="L26" i="1"/>
  <c r="X26" i="1" s="1"/>
  <c r="M26" i="1"/>
  <c r="Y26" i="1" s="1"/>
  <c r="M3" i="1"/>
  <c r="Y3" i="1" s="1"/>
  <c r="M4" i="1"/>
  <c r="Y4" i="1" s="1"/>
  <c r="M5" i="1"/>
  <c r="M6" i="1"/>
  <c r="Y6" i="1" s="1"/>
  <c r="M7" i="1"/>
  <c r="M8" i="1"/>
  <c r="Y8" i="1" s="1"/>
  <c r="M9" i="1"/>
  <c r="Y9" i="1" s="1"/>
  <c r="M10" i="1"/>
  <c r="Y10" i="1" s="1"/>
  <c r="M11" i="1"/>
  <c r="Y11" i="1" s="1"/>
  <c r="M12" i="1"/>
  <c r="Y12" i="1" s="1"/>
  <c r="M13" i="1"/>
  <c r="Y13" i="1" s="1"/>
  <c r="M14" i="1"/>
  <c r="Y14" i="1" s="1"/>
  <c r="M15" i="1"/>
  <c r="Y15" i="1" s="1"/>
  <c r="M16" i="1"/>
  <c r="Y16" i="1" s="1"/>
  <c r="M17" i="1"/>
  <c r="M18" i="1"/>
  <c r="Y18" i="1" s="1"/>
  <c r="M19" i="1"/>
  <c r="Y19" i="1" s="1"/>
  <c r="M20" i="1"/>
  <c r="M21" i="1"/>
  <c r="Y21" i="1" s="1"/>
  <c r="M22" i="1"/>
  <c r="Y22" i="1" s="1"/>
  <c r="M23" i="1"/>
  <c r="Y23" i="1" s="1"/>
  <c r="M24" i="1"/>
  <c r="M25" i="1"/>
  <c r="Y25" i="1" s="1"/>
  <c r="M28" i="1"/>
  <c r="Y28" i="1" s="1"/>
  <c r="L3" i="1"/>
  <c r="X3" i="1" s="1"/>
  <c r="L4" i="1"/>
  <c r="X4" i="1" s="1"/>
  <c r="L5" i="1"/>
  <c r="X5" i="1" s="1"/>
  <c r="L6" i="1"/>
  <c r="L7" i="1"/>
  <c r="X7" i="1" s="1"/>
  <c r="L8" i="1"/>
  <c r="X8" i="1" s="1"/>
  <c r="L9" i="1"/>
  <c r="X9" i="1" s="1"/>
  <c r="L10" i="1"/>
  <c r="X10" i="1" s="1"/>
  <c r="L11" i="1"/>
  <c r="X11" i="1" s="1"/>
  <c r="L12" i="1"/>
  <c r="X12" i="1" s="1"/>
  <c r="L13" i="1"/>
  <c r="X13" i="1" s="1"/>
  <c r="L14" i="1"/>
  <c r="X14" i="1" s="1"/>
  <c r="L15" i="1"/>
  <c r="X15" i="1" s="1"/>
  <c r="L16" i="1"/>
  <c r="X16" i="1" s="1"/>
  <c r="L17" i="1"/>
  <c r="L18" i="1"/>
  <c r="L19" i="1"/>
  <c r="X19" i="1" s="1"/>
  <c r="L20" i="1"/>
  <c r="X20" i="1" s="1"/>
  <c r="L21" i="1"/>
  <c r="X21" i="1" s="1"/>
  <c r="L22" i="1"/>
  <c r="X22" i="1" s="1"/>
  <c r="L23" i="1"/>
  <c r="X23" i="1" s="1"/>
  <c r="L24" i="1"/>
  <c r="L25" i="1"/>
  <c r="X25" i="1" s="1"/>
  <c r="L28" i="1"/>
  <c r="X28" i="1" s="1"/>
  <c r="K3" i="1"/>
  <c r="W3" i="1" s="1"/>
  <c r="K4" i="1"/>
  <c r="W4" i="1" s="1"/>
  <c r="K5" i="1"/>
  <c r="W5" i="1" s="1"/>
  <c r="K6" i="1"/>
  <c r="K7" i="1"/>
  <c r="W7" i="1" s="1"/>
  <c r="K8" i="1"/>
  <c r="W8" i="1" s="1"/>
  <c r="K9" i="1"/>
  <c r="W9" i="1" s="1"/>
  <c r="K10" i="1"/>
  <c r="W10" i="1" s="1"/>
  <c r="K11" i="1"/>
  <c r="K12" i="1"/>
  <c r="W12" i="1" s="1"/>
  <c r="K13" i="1"/>
  <c r="W13" i="1" s="1"/>
  <c r="K14" i="1"/>
  <c r="W14" i="1" s="1"/>
  <c r="K15" i="1"/>
  <c r="W15" i="1" s="1"/>
  <c r="K16" i="1"/>
  <c r="W16" i="1" s="1"/>
  <c r="K17" i="1"/>
  <c r="K18" i="1"/>
  <c r="K19" i="1"/>
  <c r="W19" i="1" s="1"/>
  <c r="K20" i="1"/>
  <c r="W20" i="1" s="1"/>
  <c r="K21" i="1"/>
  <c r="W21" i="1" s="1"/>
  <c r="K22" i="1"/>
  <c r="W22" i="1" s="1"/>
  <c r="K23" i="1"/>
  <c r="W23" i="1" s="1"/>
  <c r="K24" i="1"/>
  <c r="K25" i="1"/>
  <c r="W25" i="1" s="1"/>
  <c r="K28" i="1"/>
  <c r="W28" i="1" s="1"/>
  <c r="J3" i="1"/>
  <c r="V3" i="1" s="1"/>
  <c r="J4" i="1"/>
  <c r="V4" i="1" s="1"/>
  <c r="J5" i="1"/>
  <c r="V5" i="1" s="1"/>
  <c r="J6" i="1"/>
  <c r="J7" i="1"/>
  <c r="V7" i="1" s="1"/>
  <c r="J8" i="1"/>
  <c r="V8" i="1" s="1"/>
  <c r="J9" i="1"/>
  <c r="V9" i="1" s="1"/>
  <c r="J10" i="1"/>
  <c r="V10" i="1" s="1"/>
  <c r="J11" i="1"/>
  <c r="J12" i="1"/>
  <c r="V12" i="1" s="1"/>
  <c r="J13" i="1"/>
  <c r="V13" i="1" s="1"/>
  <c r="J14" i="1"/>
  <c r="V14" i="1" s="1"/>
  <c r="J15" i="1"/>
  <c r="V15" i="1" s="1"/>
  <c r="J16" i="1"/>
  <c r="V16" i="1" s="1"/>
  <c r="J17" i="1"/>
  <c r="J18" i="1"/>
  <c r="V18" i="1" s="1"/>
  <c r="J19" i="1"/>
  <c r="V19" i="1" s="1"/>
  <c r="J20" i="1"/>
  <c r="V20" i="1" s="1"/>
  <c r="J21" i="1"/>
  <c r="V21" i="1" s="1"/>
  <c r="J22" i="1"/>
  <c r="V22" i="1" s="1"/>
  <c r="J23" i="1"/>
  <c r="V23" i="1" s="1"/>
  <c r="J24" i="1"/>
  <c r="J25" i="1"/>
  <c r="V25" i="1" s="1"/>
  <c r="J28" i="1"/>
  <c r="V28" i="1" s="1"/>
  <c r="I3" i="1"/>
  <c r="U3" i="1" s="1"/>
  <c r="I4" i="1"/>
  <c r="U4" i="1" s="1"/>
  <c r="I5" i="1"/>
  <c r="U5" i="1" s="1"/>
  <c r="I6" i="1"/>
  <c r="I7" i="1"/>
  <c r="U7" i="1" s="1"/>
  <c r="I8" i="1"/>
  <c r="U8" i="1" s="1"/>
  <c r="I9" i="1"/>
  <c r="U9" i="1" s="1"/>
  <c r="I10" i="1"/>
  <c r="U10" i="1" s="1"/>
  <c r="I11" i="1"/>
  <c r="U11" i="1" s="1"/>
  <c r="I12" i="1"/>
  <c r="U12" i="1" s="1"/>
  <c r="I13" i="1"/>
  <c r="U13" i="1" s="1"/>
  <c r="I14" i="1"/>
  <c r="U14" i="1" s="1"/>
  <c r="I15" i="1"/>
  <c r="U15" i="1" s="1"/>
  <c r="I16" i="1"/>
  <c r="U16" i="1" s="1"/>
  <c r="I17" i="1"/>
  <c r="U17" i="1" s="1"/>
  <c r="I18" i="1"/>
  <c r="I19" i="1"/>
  <c r="U19" i="1" s="1"/>
  <c r="I20" i="1"/>
  <c r="U20" i="1" s="1"/>
  <c r="I21" i="1"/>
  <c r="I22" i="1"/>
  <c r="U22" i="1" s="1"/>
  <c r="I23" i="1"/>
  <c r="U23" i="1" s="1"/>
  <c r="I24" i="1"/>
  <c r="I25" i="1"/>
  <c r="U25" i="1" s="1"/>
  <c r="I28" i="1"/>
  <c r="U28" i="1" s="1"/>
  <c r="H3" i="1"/>
  <c r="T3" i="1" s="1"/>
  <c r="H4" i="1"/>
  <c r="T4" i="1" s="1"/>
  <c r="H5" i="1"/>
  <c r="H6" i="1"/>
  <c r="H7" i="1"/>
  <c r="H8" i="1"/>
  <c r="H9" i="1"/>
  <c r="T9" i="1" s="1"/>
  <c r="H10" i="1"/>
  <c r="T10" i="1" s="1"/>
  <c r="H11" i="1"/>
  <c r="H12" i="1"/>
  <c r="T12" i="1" s="1"/>
  <c r="H13" i="1"/>
  <c r="T13" i="1" s="1"/>
  <c r="H14" i="1"/>
  <c r="T14" i="1" s="1"/>
  <c r="H15" i="1"/>
  <c r="T15" i="1" s="1"/>
  <c r="H16" i="1"/>
  <c r="T16" i="1" s="1"/>
  <c r="H17" i="1"/>
  <c r="T17" i="1" s="1"/>
  <c r="H18" i="1"/>
  <c r="T18" i="1" s="1"/>
  <c r="H19" i="1"/>
  <c r="T19" i="1" s="1"/>
  <c r="H20" i="1"/>
  <c r="T20" i="1" s="1"/>
  <c r="H21" i="1"/>
  <c r="T21" i="1" s="1"/>
  <c r="H22" i="1"/>
  <c r="T22" i="1" s="1"/>
  <c r="H23" i="1"/>
  <c r="H24" i="1"/>
  <c r="H25" i="1"/>
  <c r="T25" i="1" s="1"/>
  <c r="H28" i="1"/>
  <c r="T28" i="1" s="1"/>
  <c r="U33" i="1" l="1"/>
  <c r="U34" i="1" s="1"/>
  <c r="U35" i="1" s="1"/>
  <c r="U36" i="1" s="1"/>
  <c r="U37" i="1" s="1"/>
  <c r="U38" i="1" s="1"/>
  <c r="O24" i="1" s="1"/>
  <c r="U24" i="1" s="1"/>
  <c r="U29" i="1" s="1"/>
  <c r="U30" i="1" s="1"/>
  <c r="T33" i="1"/>
  <c r="T34" i="1"/>
  <c r="W33" i="1"/>
  <c r="W34" i="1" s="1"/>
  <c r="W35" i="1" s="1"/>
  <c r="W36" i="1" s="1"/>
  <c r="W37" i="1" s="1"/>
  <c r="W38" i="1" s="1"/>
  <c r="Q24" i="1" s="1"/>
  <c r="W24" i="1" s="1"/>
  <c r="W29" i="1" s="1"/>
  <c r="W30" i="1" s="1"/>
  <c r="W40" i="1" s="1"/>
  <c r="W41" i="1" s="1"/>
  <c r="Y33" i="1"/>
  <c r="X35" i="1"/>
  <c r="X36" i="1" s="1"/>
  <c r="X37" i="1" s="1"/>
  <c r="X38" i="1" s="1"/>
  <c r="R24" i="1" s="1"/>
  <c r="X24" i="1" s="1"/>
  <c r="X29" i="1" s="1"/>
  <c r="X30" i="1" s="1"/>
  <c r="X40" i="1" s="1"/>
  <c r="X34" i="1"/>
  <c r="V35" i="1"/>
  <c r="V36" i="1" s="1"/>
  <c r="V37" i="1" s="1"/>
  <c r="V38" i="1" s="1"/>
  <c r="P24" i="1" s="1"/>
  <c r="V24" i="1" s="1"/>
  <c r="V29" i="1" s="1"/>
  <c r="V30" i="1" s="1"/>
  <c r="V40" i="1" s="1"/>
  <c r="V41" i="1" s="1"/>
  <c r="X41" i="1" l="1"/>
  <c r="T35" i="1"/>
  <c r="T36" i="1" s="1"/>
  <c r="Y34" i="1"/>
  <c r="Y35" i="1" s="1"/>
  <c r="Y36" i="1" s="1"/>
  <c r="Y37" i="1" s="1"/>
  <c r="Y38" i="1" s="1"/>
  <c r="S24" i="1" s="1"/>
  <c r="Y24" i="1" s="1"/>
  <c r="Y29" i="1" s="1"/>
  <c r="Y30" i="1" s="1"/>
  <c r="Y40" i="1" l="1"/>
  <c r="Y41" i="1" s="1"/>
  <c r="T37" i="1"/>
  <c r="T38" i="1" s="1"/>
  <c r="N24" i="1" s="1"/>
  <c r="T24" i="1" s="1"/>
  <c r="T29" i="1" s="1"/>
  <c r="T30" i="1" s="1"/>
  <c r="S39" i="1"/>
  <c r="T40" i="1" l="1"/>
  <c r="T41" i="1" s="1"/>
  <c r="T48" i="1"/>
  <c r="U48" i="1" s="1"/>
  <c r="T47" i="1"/>
  <c r="U47" i="1" s="1"/>
  <c r="T46" i="1"/>
  <c r="U46" i="1" s="1"/>
  <c r="T45" i="1"/>
  <c r="U45" i="1" s="1"/>
  <c r="T44" i="1"/>
  <c r="U4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Tithi</author>
  </authors>
  <commentList>
    <comment ref="H24" authorId="0" shapeId="0" xr:uid="{33EB9948-4CBB-4063-82D2-0C60BA70520C}">
      <text>
        <r>
          <rPr>
            <b/>
            <sz val="9"/>
            <color indexed="81"/>
            <rFont val="Tahoma"/>
            <family val="2"/>
          </rPr>
          <t>Tithi:</t>
        </r>
        <r>
          <rPr>
            <sz val="9"/>
            <color indexed="81"/>
            <rFont val="Tahoma"/>
            <family val="2"/>
          </rPr>
          <t xml:space="preserve">
$38 @10 Qty</t>
        </r>
      </text>
    </comment>
  </commentList>
</comments>
</file>

<file path=xl/sharedStrings.xml><?xml version="1.0" encoding="utf-8"?>
<sst xmlns="http://schemas.openxmlformats.org/spreadsheetml/2006/main" count="216" uniqueCount="117">
  <si>
    <t>Comment</t>
  </si>
  <si>
    <t>Designator</t>
  </si>
  <si>
    <t>Quantity</t>
  </si>
  <si>
    <t>Manufacturer Name</t>
  </si>
  <si>
    <t>Manufacturer Part No</t>
  </si>
  <si>
    <t>Price@100</t>
  </si>
  <si>
    <t>CAP CER 0.1UF 50V X7R 0603</t>
  </si>
  <si>
    <t>C1, C3, C4, C5, C6, C10, C11</t>
  </si>
  <si>
    <t>Samsung Electro-Mechanics</t>
  </si>
  <si>
    <t>CL10B104KB8NNWC</t>
  </si>
  <si>
    <t>CAP CER 1UF 50V X7R 0805</t>
  </si>
  <si>
    <t>C2, C9, C12, C13</t>
  </si>
  <si>
    <t>CAP CER 10PF 50V C0G/NP0 0603</t>
  </si>
  <si>
    <t>C7, C8</t>
  </si>
  <si>
    <t>Walsin Technology Corporation</t>
  </si>
  <si>
    <t>0603N100J500CT</t>
  </si>
  <si>
    <t>DIODE SCHOTTKY 20V 1A SOD323</t>
  </si>
  <si>
    <t>D1, D6</t>
  </si>
  <si>
    <t>Nexperia USA Inc.</t>
  </si>
  <si>
    <t>PMEG2010BEA</t>
  </si>
  <si>
    <t>LED RED CLEAR SMD</t>
  </si>
  <si>
    <t>D2, D3</t>
  </si>
  <si>
    <t/>
  </si>
  <si>
    <t>LCD_DL_BAT</t>
  </si>
  <si>
    <t>D4</t>
  </si>
  <si>
    <t>TVS DIODE 5.5VWM 8.5VC SOT23-5</t>
  </si>
  <si>
    <t>D5</t>
  </si>
  <si>
    <t>Littelfuse Inc</t>
  </si>
  <si>
    <t>SP0504BAHTG</t>
  </si>
  <si>
    <t>USB-C REC 3" VERT 24P SMT &amp; TH S</t>
  </si>
  <si>
    <t>J1</t>
  </si>
  <si>
    <t>Global Connector Technology</t>
  </si>
  <si>
    <t>USB4225-03-1000-C</t>
  </si>
  <si>
    <t>BAT CLIP CR2477</t>
  </si>
  <si>
    <t>P1</t>
  </si>
  <si>
    <t>Takachi</t>
  </si>
  <si>
    <t>CST-2450M  /CST-2450P</t>
  </si>
  <si>
    <t>RES 100K OHM 1% 1/10W 0603</t>
  </si>
  <si>
    <t>R1</t>
  </si>
  <si>
    <t>Stackpole Electronics Inc</t>
  </si>
  <si>
    <t>RMCF0603FT100K</t>
  </si>
  <si>
    <t>RES 0 OHM JUMPER - 0402</t>
  </si>
  <si>
    <t>R2, R13, R16</t>
  </si>
  <si>
    <t>YAGEO</t>
  </si>
  <si>
    <t>RC0402JR-070RP</t>
  </si>
  <si>
    <t>RES 10K OHM 1% 1/10W 0603</t>
  </si>
  <si>
    <t>R3, R4, R5, R6, R7, R8, R9, R10</t>
  </si>
  <si>
    <t>RMCF0603FT10K0</t>
  </si>
  <si>
    <t>RES 1M OHM 1% 1/10W 0603</t>
  </si>
  <si>
    <t>R11, R12</t>
  </si>
  <si>
    <t>WR06X1004FTL</t>
  </si>
  <si>
    <t>RES 5.1K OHM 1% 1/10W 0603</t>
  </si>
  <si>
    <t>R14, R15</t>
  </si>
  <si>
    <t>RMCF0603FT5K10</t>
  </si>
  <si>
    <t>SWITCH TACTILE SPST-NO 0.05A 12V</t>
  </si>
  <si>
    <t>SW1, SW2</t>
  </si>
  <si>
    <t>E-Switch</t>
  </si>
  <si>
    <t>CONN HEADER VERT 5POS 2.54MM</t>
  </si>
  <si>
    <t>SWD1</t>
  </si>
  <si>
    <t>Würth Elektronik</t>
  </si>
  <si>
    <t>61300511121</t>
  </si>
  <si>
    <t>IC MCU STM32U083RCT6 64LQFP</t>
  </si>
  <si>
    <t>U1</t>
  </si>
  <si>
    <t>STM32U083RCT6</t>
  </si>
  <si>
    <t>STMicroelectronics</t>
  </si>
  <si>
    <t>IC EEPROM 8MBIT SPI/QUAD 8SOIC</t>
  </si>
  <si>
    <t>U2</t>
  </si>
  <si>
    <t>M95P08-IXMNT/E</t>
  </si>
  <si>
    <t>RH DIGITAL HUMIDITY SENSOR</t>
  </si>
  <si>
    <t>U3</t>
  </si>
  <si>
    <t>HDC3022QDEJRQ1</t>
  </si>
  <si>
    <t>Texas Instruments</t>
  </si>
  <si>
    <t>IC REG LINEAR 3.3V 150MA SMV</t>
  </si>
  <si>
    <t>U4</t>
  </si>
  <si>
    <t>TCR1HF33B,LM(CT</t>
  </si>
  <si>
    <t>Toshiba Semiconductor and Storage</t>
  </si>
  <si>
    <t>CRYSTAL 32.7680KHZ 7PF SMD</t>
  </si>
  <si>
    <t>X1</t>
  </si>
  <si>
    <t>NDK</t>
  </si>
  <si>
    <t>NX2012SA-32.768KHZ-EXS00A-MU00389</t>
  </si>
  <si>
    <t xml:space="preserve">PCB </t>
  </si>
  <si>
    <t>Sr.No</t>
  </si>
  <si>
    <t>Price@10</t>
  </si>
  <si>
    <t>Total Qty 10</t>
  </si>
  <si>
    <t>Total Qty 25</t>
  </si>
  <si>
    <t>Total Qty 50</t>
  </si>
  <si>
    <t>Total Qty 100</t>
  </si>
  <si>
    <t>Total Qty 500</t>
  </si>
  <si>
    <t>Total Qty 1000</t>
  </si>
  <si>
    <t>Price@25</t>
  </si>
  <si>
    <t>Price@50</t>
  </si>
  <si>
    <t>Price@500</t>
  </si>
  <si>
    <t>Price@1000</t>
  </si>
  <si>
    <t>Total Price@10</t>
  </si>
  <si>
    <t>Total Price@25</t>
  </si>
  <si>
    <t>Total  Price@50</t>
  </si>
  <si>
    <t>Total Price@100</t>
  </si>
  <si>
    <t>Total Price@500</t>
  </si>
  <si>
    <t>Total  Price@1000</t>
  </si>
  <si>
    <t>BOX</t>
  </si>
  <si>
    <t xml:space="preserve">Box Final Assembly </t>
  </si>
  <si>
    <t xml:space="preserve">PCB Assembly </t>
  </si>
  <si>
    <t>Price /PCB</t>
  </si>
  <si>
    <t>Total BOM Cost</t>
  </si>
  <si>
    <t>CR2477 Battery</t>
  </si>
  <si>
    <r>
      <t>CL21B105KBFNNNE /</t>
    </r>
    <r>
      <rPr>
        <sz val="11"/>
        <color rgb="FFFF0000"/>
        <rFont val="Aptos Narrow"/>
        <family val="2"/>
        <scheme val="minor"/>
      </rPr>
      <t xml:space="preserve"> </t>
    </r>
    <r>
      <rPr>
        <b/>
        <sz val="11"/>
        <color rgb="FFFF0000"/>
        <rFont val="Aptos Narrow"/>
        <family val="2"/>
        <scheme val="minor"/>
      </rPr>
      <t>CL10A105KA8NNNC</t>
    </r>
  </si>
  <si>
    <r>
      <t xml:space="preserve">TL3305AF260QG / </t>
    </r>
    <r>
      <rPr>
        <b/>
        <sz val="11"/>
        <color rgb="FFFF0000"/>
        <rFont val="Aptos Narrow"/>
        <family val="2"/>
        <scheme val="minor"/>
      </rPr>
      <t>TL3305CF260QG</t>
    </r>
  </si>
  <si>
    <t>Duty  on PCB</t>
  </si>
  <si>
    <t>SGST</t>
  </si>
  <si>
    <t>PCB + Courier Charge</t>
  </si>
  <si>
    <t>Total Surcharge</t>
  </si>
  <si>
    <t>Surcharge</t>
  </si>
  <si>
    <t>Total PCB Price</t>
  </si>
  <si>
    <t>Price/ PCB</t>
  </si>
  <si>
    <t>USD Price</t>
  </si>
  <si>
    <t>Total Price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</si>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</sst>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/>
    <xf numFmtId="0" fontId="0" fillId="0" borderId="0" xfId="0" quotePrefix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2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BCA42F-9EF5-4624-925D-9D1CFE5840F4}" name="Table2" displayName="Table2" ref="B2:Y28" totalsRowShown="0" headerRowDxfId="23">
  <autoFilter ref="B2:Y28" xr:uid="{07BCA42F-9EF5-4624-925D-9D1CFE5840F4}"/>
  <tableColumns count="24">
    <tableColumn id="1" xr3:uid="{E8490DF3-0D8A-4DAE-B7C7-5C9771FB6199}" name="Sr.No" dataDxfId="22"/>
    <tableColumn id="2" xr3:uid="{1C88FA16-9760-4B12-9DFB-8B827CEBD0EC}" name="Comment"/>
    <tableColumn id="3" xr3:uid="{E48AF6A7-94E2-4263-82D3-673EAA1B27D3}" name="Designator"/>
    <tableColumn id="4" xr3:uid="{91AFE148-9B2C-4CA7-9BC3-FE97E03CC65F}" name="Quantity" dataDxfId="21"/>
    <tableColumn id="5" xr3:uid="{44995821-5450-4563-A5EF-769B368C92DD}" name="Manufacturer Name"/>
    <tableColumn id="6" xr3:uid="{E8696D62-3602-4495-8F51-0F3A8CA70112}" name="Manufacturer Part No"/>
    <tableColumn id="7" xr3:uid="{FB368CE6-DE80-4DA5-A739-864569B701CC}" name="Total Qty 10" dataDxfId="20">
      <calculatedColumnFormula>E3*10</calculatedColumnFormula>
    </tableColumn>
    <tableColumn id="8" xr3:uid="{9CE10BCD-2A00-4742-9706-A68FF052F5D2}" name="Total Qty 25" dataDxfId="19">
      <calculatedColumnFormula>E3*25</calculatedColumnFormula>
    </tableColumn>
    <tableColumn id="9" xr3:uid="{F7434924-464D-4A37-9278-C4B8C9FFAD79}" name="Total Qty 50" dataDxfId="18">
      <calculatedColumnFormula>E3*50</calculatedColumnFormula>
    </tableColumn>
    <tableColumn id="10" xr3:uid="{B374B16E-6022-442D-AEDB-481F1CEE6B5D}" name="Total Qty 100" dataDxfId="17">
      <calculatedColumnFormula>E3*100</calculatedColumnFormula>
    </tableColumn>
    <tableColumn id="11" xr3:uid="{9EC67177-C362-48BE-8ADC-8355C92C83EE}" name="Total Qty 500" dataDxfId="16">
      <calculatedColumnFormula>E3*500</calculatedColumnFormula>
    </tableColumn>
    <tableColumn id="12" xr3:uid="{F410D6E9-8600-4E9C-90B8-1010AC843132}" name="Total Qty 1000" dataDxfId="15">
      <calculatedColumnFormula>E3*1000</calculatedColumnFormula>
    </tableColumn>
    <tableColumn id="13" xr3:uid="{9540E4BC-8D1D-45BE-A5ED-5305E9BA99F0}" name="Price@10" dataDxfId="14"/>
    <tableColumn id="14" xr3:uid="{38A0B81B-F69F-476E-94AF-733DBADC5E64}" name="Price@25" dataDxfId="13"/>
    <tableColumn id="15" xr3:uid="{10DDBFC3-B2AD-43A5-A9E6-C9DA2B6D38C0}" name="Price@50" dataDxfId="12"/>
    <tableColumn id="16" xr3:uid="{9BBC71B4-9F2E-499B-9295-0A6387C442FF}" name="Price@100" dataDxfId="11"/>
    <tableColumn id="17" xr3:uid="{B211A4D5-8FD8-40BB-88F5-49BA2AE514DC}" name="Price@500" dataDxfId="10"/>
    <tableColumn id="18" xr3:uid="{DFE5A0AB-5438-4559-B934-24F95A2F1053}" name="Price@1000" dataDxfId="9"/>
    <tableColumn id="19" xr3:uid="{540EE5D4-3E64-4BCA-8823-7379C5D643F0}" name="Total Price@10" dataDxfId="8">
      <calculatedColumnFormula>Table2[[#This Row],[Price@10]]*Table2[[#This Row],[Total Qty 10]]</calculatedColumnFormula>
    </tableColumn>
    <tableColumn id="20" xr3:uid="{F9DE8738-3A94-4290-8006-DC46AB9F5AFA}" name="Total Price@25" dataDxfId="7">
      <calculatedColumnFormula>Table2[[#This Row],[Price@25]]*Table2[[#This Row],[Total Qty 25]]</calculatedColumnFormula>
    </tableColumn>
    <tableColumn id="21" xr3:uid="{2B75A8AD-3467-41A4-8CE0-918D894003A2}" name="Total  Price@50" dataDxfId="6">
      <calculatedColumnFormula>Table2[[#This Row],[Price@50]]*Table2[[#This Row],[Total Qty 50]]</calculatedColumnFormula>
    </tableColumn>
    <tableColumn id="22" xr3:uid="{98F4BBB3-6D14-4888-9E5B-36620877E6E8}" name="Total Price@100" dataDxfId="5">
      <calculatedColumnFormula>Table2[[#This Row],[Price@100]]*Table2[[#This Row],[Total Qty 100]]</calculatedColumnFormula>
    </tableColumn>
    <tableColumn id="23" xr3:uid="{1BDA4852-6E75-4EF3-B2FC-2E5B715F996E}" name="Total Price@500" dataDxfId="4">
      <calculatedColumnFormula>Table2[[#This Row],[Price@500]]*Table2[[#This Row],[Total Qty 500]]</calculatedColumnFormula>
    </tableColumn>
    <tableColumn id="24" xr3:uid="{3F09D7BB-54B6-4A4A-BE3D-5BADBAF95463}" name="Total  Price@1000" dataDxfId="3">
      <calculatedColumnFormula>Table2[[#This Row],[Price@1000]]*Table2[[#This Row],[Total Qty 1000]]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6C5FE6-9F92-4FAA-93EE-F236792343AE}" name="Table22" displayName="Table22" ref="B2:G28" totalsRowShown="0" headerRowDxfId="2">
  <autoFilter ref="B2:G28" xr:uid="{07BCA42F-9EF5-4624-925D-9D1CFE5840F4}"/>
  <tableColumns count="6">
    <tableColumn id="1" xr3:uid="{89F3B29C-47C0-4C20-9F6B-65A64786FC4B}" name="Sr.No" dataDxfId="1"/>
    <tableColumn id="2" xr3:uid="{3EA282D4-9BD1-4C02-BEB9-000E6D5CA2C9}" name="Comment"/>
    <tableColumn id="3" xr3:uid="{44D3A5F8-4C46-450F-AC88-C6761B907AAB}" name="Designator"/>
    <tableColumn id="4" xr3:uid="{02525D6C-5922-4353-B436-8760FE1255C5}" name="Quantity" dataDxfId="0"/>
    <tableColumn id="5" xr3:uid="{DCAA995D-AE17-4CBD-9FAF-317B595556A5}" name="Manufacturer Name"/>
    <tableColumn id="6" xr3:uid="{9CEBA7C6-5972-470E-936E-E755AA3F8F34}" name="Manufacturer Part 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E81A7-3B9F-48C6-9133-15A36A006D46}">
  <dimension ref="B2:Y48"/>
  <sheetViews>
    <sheetView zoomScale="85" zoomScaleNormal="85" workbookViewId="0">
      <selection activeCell="S38" sqref="S38"/>
    </sheetView>
  </sheetViews>
  <sheetFormatPr defaultRowHeight="14.4" x14ac:dyDescent="0.3"/>
  <cols>
    <col min="2" max="2" width="7.5546875" style="1" customWidth="1"/>
    <col min="3" max="3" width="31" bestFit="1" customWidth="1"/>
    <col min="4" max="4" width="25.5546875" customWidth="1"/>
    <col min="5" max="5" width="10" style="1" customWidth="1"/>
    <col min="6" max="6" width="30.109375" bestFit="1" customWidth="1"/>
    <col min="7" max="7" width="34.6640625" bestFit="1" customWidth="1"/>
    <col min="8" max="10" width="15.109375" style="1" bestFit="1" customWidth="1"/>
    <col min="11" max="12" width="16.109375" style="1" bestFit="1" customWidth="1"/>
    <col min="13" max="13" width="17.109375" style="1" bestFit="1" customWidth="1"/>
    <col min="14" max="16" width="13.33203125" style="1" bestFit="1" customWidth="1"/>
    <col min="17" max="18" width="14.33203125" style="1" bestFit="1" customWidth="1"/>
    <col min="19" max="19" width="15.33203125" style="1" bestFit="1" customWidth="1"/>
    <col min="20" max="20" width="17.88671875" style="1" bestFit="1" customWidth="1"/>
    <col min="21" max="21" width="15.21875" style="1" customWidth="1"/>
    <col min="22" max="22" width="18.21875" style="1" bestFit="1" customWidth="1"/>
    <col min="23" max="23" width="18.88671875" style="1" bestFit="1" customWidth="1"/>
    <col min="24" max="24" width="16.21875" style="1" customWidth="1"/>
    <col min="25" max="25" width="17.5546875" style="1" customWidth="1"/>
  </cols>
  <sheetData>
    <row r="2" spans="2:25" x14ac:dyDescent="0.3">
      <c r="B2" s="1" t="s">
        <v>81</v>
      </c>
      <c r="C2" t="s">
        <v>0</v>
      </c>
      <c r="D2" t="s">
        <v>1</v>
      </c>
      <c r="E2" s="1" t="s">
        <v>2</v>
      </c>
      <c r="F2" t="s">
        <v>3</v>
      </c>
      <c r="G2" t="s">
        <v>4</v>
      </c>
      <c r="H2" s="1" t="s">
        <v>83</v>
      </c>
      <c r="I2" s="1" t="s">
        <v>84</v>
      </c>
      <c r="J2" s="1" t="s">
        <v>85</v>
      </c>
      <c r="K2" s="1" t="s">
        <v>86</v>
      </c>
      <c r="L2" s="1" t="s">
        <v>87</v>
      </c>
      <c r="M2" s="1" t="s">
        <v>88</v>
      </c>
      <c r="N2" s="1" t="s">
        <v>82</v>
      </c>
      <c r="O2" s="1" t="s">
        <v>89</v>
      </c>
      <c r="P2" s="1" t="s">
        <v>90</v>
      </c>
      <c r="Q2" s="1" t="s">
        <v>5</v>
      </c>
      <c r="R2" s="1" t="s">
        <v>91</v>
      </c>
      <c r="S2" s="1" t="s">
        <v>92</v>
      </c>
      <c r="T2" s="1" t="s">
        <v>93</v>
      </c>
      <c r="U2" s="1" t="s">
        <v>94</v>
      </c>
      <c r="V2" s="1" t="s">
        <v>95</v>
      </c>
      <c r="W2" s="1" t="s">
        <v>96</v>
      </c>
      <c r="X2" s="1" t="s">
        <v>97</v>
      </c>
      <c r="Y2" s="1" t="s">
        <v>98</v>
      </c>
    </row>
    <row r="3" spans="2:25" x14ac:dyDescent="0.3">
      <c r="B3" s="1">
        <v>1</v>
      </c>
      <c r="C3" s="2" t="s">
        <v>6</v>
      </c>
      <c r="D3" s="2" t="s">
        <v>7</v>
      </c>
      <c r="E3" s="1">
        <v>7</v>
      </c>
      <c r="F3" s="2" t="s">
        <v>8</v>
      </c>
      <c r="G3" s="2" t="s">
        <v>9</v>
      </c>
      <c r="H3" s="3">
        <f t="shared" ref="H3:H28" si="0">E3*10</f>
        <v>70</v>
      </c>
      <c r="I3" s="1">
        <f t="shared" ref="I3:I28" si="1">E3*25</f>
        <v>175</v>
      </c>
      <c r="J3" s="1">
        <f t="shared" ref="J3:J28" si="2">E3*50</f>
        <v>350</v>
      </c>
      <c r="K3" s="1">
        <f t="shared" ref="K3:K28" si="3">E3*100</f>
        <v>700</v>
      </c>
      <c r="L3" s="1">
        <f t="shared" ref="L3:L28" si="4">E3*500</f>
        <v>3500</v>
      </c>
      <c r="M3" s="1">
        <f t="shared" ref="M3:M28" si="5">E3*1000</f>
        <v>7000</v>
      </c>
      <c r="N3" s="1">
        <v>0.315</v>
      </c>
      <c r="O3" s="1">
        <v>0.28000000000000003</v>
      </c>
      <c r="P3" s="1">
        <v>0.28000000000000003</v>
      </c>
      <c r="Q3" s="1">
        <v>0.28000000000000003</v>
      </c>
      <c r="R3" s="1">
        <v>0.28000000000000003</v>
      </c>
      <c r="S3" s="1">
        <v>0.21</v>
      </c>
      <c r="T3" s="1">
        <f>Table2[[#This Row],[Price@10]]*Table2[[#This Row],[Total Qty 10]]</f>
        <v>22.05</v>
      </c>
      <c r="U3" s="1">
        <f>Table2[[#This Row],[Price@25]]*Table2[[#This Row],[Total Qty 25]]</f>
        <v>49.000000000000007</v>
      </c>
      <c r="V3" s="1">
        <f>Table2[[#This Row],[Price@50]]*Table2[[#This Row],[Total Qty 50]]</f>
        <v>98.000000000000014</v>
      </c>
      <c r="W3" s="1">
        <f>Table2[[#This Row],[Price@100]]*Table2[[#This Row],[Total Qty 100]]</f>
        <v>196.00000000000003</v>
      </c>
      <c r="X3" s="1">
        <f>Table2[[#This Row],[Price@500]]*Table2[[#This Row],[Total Qty 500]]</f>
        <v>980.00000000000011</v>
      </c>
      <c r="Y3" s="1">
        <f>Table2[[#This Row],[Price@1000]]*Table2[[#This Row],[Total Qty 1000]]</f>
        <v>1470</v>
      </c>
    </row>
    <row r="4" spans="2:25" x14ac:dyDescent="0.3">
      <c r="B4" s="1">
        <v>2</v>
      </c>
      <c r="C4" s="2" t="s">
        <v>10</v>
      </c>
      <c r="D4" s="2" t="s">
        <v>11</v>
      </c>
      <c r="E4" s="1">
        <v>4</v>
      </c>
      <c r="F4" s="2" t="s">
        <v>8</v>
      </c>
      <c r="G4" s="2" t="s">
        <v>105</v>
      </c>
      <c r="H4" s="3">
        <f t="shared" si="0"/>
        <v>40</v>
      </c>
      <c r="I4" s="1">
        <f t="shared" si="1"/>
        <v>100</v>
      </c>
      <c r="J4" s="1">
        <f t="shared" si="2"/>
        <v>200</v>
      </c>
      <c r="K4" s="1">
        <f t="shared" si="3"/>
        <v>400</v>
      </c>
      <c r="L4" s="1">
        <f t="shared" si="4"/>
        <v>2000</v>
      </c>
      <c r="M4" s="1">
        <f t="shared" si="5"/>
        <v>4000</v>
      </c>
      <c r="N4" s="1">
        <v>0.438</v>
      </c>
      <c r="O4" s="1">
        <v>0.37630000000000002</v>
      </c>
      <c r="P4" s="1">
        <v>0.37630000000000002</v>
      </c>
      <c r="Q4" s="1">
        <v>0.37630000000000002</v>
      </c>
      <c r="R4" s="1">
        <v>0.37630000000000002</v>
      </c>
      <c r="S4" s="1">
        <v>0.35</v>
      </c>
      <c r="T4" s="1">
        <f>Table2[[#This Row],[Price@10]]*Table2[[#This Row],[Total Qty 10]]</f>
        <v>17.52</v>
      </c>
      <c r="U4" s="1">
        <f>Table2[[#This Row],[Price@25]]*Table2[[#This Row],[Total Qty 25]]</f>
        <v>37.630000000000003</v>
      </c>
      <c r="V4" s="1">
        <f>Table2[[#This Row],[Price@50]]*Table2[[#This Row],[Total Qty 50]]</f>
        <v>75.260000000000005</v>
      </c>
      <c r="W4" s="1">
        <f>Table2[[#This Row],[Price@100]]*Table2[[#This Row],[Total Qty 100]]</f>
        <v>150.52000000000001</v>
      </c>
      <c r="X4" s="1">
        <f>Table2[[#This Row],[Price@500]]*Table2[[#This Row],[Total Qty 500]]</f>
        <v>752.6</v>
      </c>
      <c r="Y4" s="1">
        <f>Table2[[#This Row],[Price@1000]]*Table2[[#This Row],[Total Qty 1000]]</f>
        <v>1400</v>
      </c>
    </row>
    <row r="5" spans="2:25" x14ac:dyDescent="0.3">
      <c r="B5" s="1">
        <v>3</v>
      </c>
      <c r="C5" s="2" t="s">
        <v>12</v>
      </c>
      <c r="D5" s="2" t="s">
        <v>13</v>
      </c>
      <c r="E5" s="1">
        <v>2</v>
      </c>
      <c r="F5" s="2" t="s">
        <v>14</v>
      </c>
      <c r="G5" s="2" t="s">
        <v>15</v>
      </c>
      <c r="H5" s="3">
        <f t="shared" si="0"/>
        <v>20</v>
      </c>
      <c r="I5" s="1">
        <f t="shared" si="1"/>
        <v>50</v>
      </c>
      <c r="J5" s="1">
        <f t="shared" si="2"/>
        <v>100</v>
      </c>
      <c r="K5" s="1">
        <f t="shared" si="3"/>
        <v>200</v>
      </c>
      <c r="L5" s="1">
        <f t="shared" si="4"/>
        <v>1000</v>
      </c>
      <c r="M5" s="1">
        <f t="shared" si="5"/>
        <v>2000</v>
      </c>
      <c r="N5" s="1">
        <v>2.1</v>
      </c>
      <c r="O5" s="1">
        <v>1.3826000000000001</v>
      </c>
      <c r="P5" s="1">
        <v>1.1813</v>
      </c>
      <c r="Q5" s="1">
        <v>1.1813</v>
      </c>
      <c r="R5" s="1">
        <v>0.72099999999999997</v>
      </c>
      <c r="S5" s="1">
        <v>0.72099999999999997</v>
      </c>
      <c r="T5" s="1">
        <f>Table2[[#This Row],[Price@10]]*Table2[[#This Row],[Total Qty 10]]</f>
        <v>42</v>
      </c>
      <c r="U5" s="1">
        <f>Table2[[#This Row],[Price@25]]*Table2[[#This Row],[Total Qty 25]]</f>
        <v>69.13</v>
      </c>
      <c r="V5" s="1">
        <f>Table2[[#This Row],[Price@50]]*Table2[[#This Row],[Total Qty 50]]</f>
        <v>118.13</v>
      </c>
      <c r="W5" s="1">
        <f>Table2[[#This Row],[Price@100]]*Table2[[#This Row],[Total Qty 100]]</f>
        <v>236.26</v>
      </c>
      <c r="X5" s="1">
        <f>Table2[[#This Row],[Price@500]]*Table2[[#This Row],[Total Qty 500]]</f>
        <v>721</v>
      </c>
      <c r="Y5" s="1">
        <f>Table2[[#This Row],[Price@1000]]*Table2[[#This Row],[Total Qty 1000]]</f>
        <v>1442</v>
      </c>
    </row>
    <row r="6" spans="2:25" x14ac:dyDescent="0.3">
      <c r="B6" s="1">
        <v>4</v>
      </c>
      <c r="C6" s="2" t="s">
        <v>16</v>
      </c>
      <c r="D6" s="2" t="s">
        <v>17</v>
      </c>
      <c r="E6" s="1">
        <v>2</v>
      </c>
      <c r="F6" s="2" t="s">
        <v>18</v>
      </c>
      <c r="G6" s="2" t="s">
        <v>19</v>
      </c>
      <c r="H6" s="3">
        <f t="shared" si="0"/>
        <v>20</v>
      </c>
      <c r="I6" s="1">
        <f t="shared" si="1"/>
        <v>50</v>
      </c>
      <c r="J6" s="1">
        <f t="shared" si="2"/>
        <v>100</v>
      </c>
      <c r="K6" s="1">
        <f t="shared" si="3"/>
        <v>200</v>
      </c>
      <c r="L6" s="1">
        <f t="shared" si="4"/>
        <v>1000</v>
      </c>
      <c r="M6" s="1">
        <f t="shared" si="5"/>
        <v>2000</v>
      </c>
      <c r="N6" s="1">
        <v>19.25</v>
      </c>
      <c r="O6" s="1">
        <v>19.25</v>
      </c>
      <c r="P6" s="1">
        <v>11.654999999999999</v>
      </c>
      <c r="Q6" s="1">
        <v>11.654999999999999</v>
      </c>
      <c r="R6" s="1">
        <v>7.39025</v>
      </c>
      <c r="S6" s="1">
        <v>7.39025</v>
      </c>
      <c r="T6" s="1">
        <f>Table2[[#This Row],[Price@10]]*Table2[[#This Row],[Total Qty 10]]</f>
        <v>385</v>
      </c>
      <c r="U6" s="1">
        <f>Table2[[#This Row],[Price@25]]*Table2[[#This Row],[Total Qty 25]]</f>
        <v>962.5</v>
      </c>
      <c r="V6" s="1">
        <f>Table2[[#This Row],[Price@50]]*Table2[[#This Row],[Total Qty 50]]</f>
        <v>1165.5</v>
      </c>
      <c r="W6" s="1">
        <f>Table2[[#This Row],[Price@100]]*Table2[[#This Row],[Total Qty 100]]</f>
        <v>2331</v>
      </c>
      <c r="X6" s="1">
        <f>Table2[[#This Row],[Price@500]]*Table2[[#This Row],[Total Qty 500]]</f>
        <v>7390.25</v>
      </c>
      <c r="Y6" s="1">
        <f>Table2[[#This Row],[Price@1000]]*Table2[[#This Row],[Total Qty 1000]]</f>
        <v>14780.5</v>
      </c>
    </row>
    <row r="7" spans="2:25" x14ac:dyDescent="0.3">
      <c r="B7" s="1">
        <v>5</v>
      </c>
      <c r="C7" s="2" t="s">
        <v>20</v>
      </c>
      <c r="D7" s="2" t="s">
        <v>21</v>
      </c>
      <c r="E7" s="1">
        <v>2</v>
      </c>
      <c r="F7" s="2" t="s">
        <v>22</v>
      </c>
      <c r="G7" s="2" t="s">
        <v>22</v>
      </c>
      <c r="H7" s="3">
        <f t="shared" si="0"/>
        <v>20</v>
      </c>
      <c r="I7" s="1">
        <f t="shared" si="1"/>
        <v>50</v>
      </c>
      <c r="J7" s="1">
        <f t="shared" si="2"/>
        <v>100</v>
      </c>
      <c r="K7" s="1">
        <f t="shared" si="3"/>
        <v>200</v>
      </c>
      <c r="L7" s="1">
        <f t="shared" si="4"/>
        <v>1000</v>
      </c>
      <c r="M7" s="1">
        <f t="shared" si="5"/>
        <v>2000</v>
      </c>
      <c r="N7" s="1">
        <v>7.9630000000000001</v>
      </c>
      <c r="O7" s="1">
        <v>7.9630000000000001</v>
      </c>
      <c r="P7" s="1">
        <v>5.5038</v>
      </c>
      <c r="Q7" s="1">
        <v>5.5038</v>
      </c>
      <c r="R7" s="1">
        <v>4.3470000000000004</v>
      </c>
      <c r="S7" s="1">
        <v>3.9620000000000002</v>
      </c>
      <c r="T7" s="1">
        <f>Table2[[#This Row],[Price@10]]*Table2[[#This Row],[Total Qty 10]]</f>
        <v>159.26</v>
      </c>
      <c r="U7" s="1">
        <f>Table2[[#This Row],[Price@25]]*Table2[[#This Row],[Total Qty 25]]</f>
        <v>398.15</v>
      </c>
      <c r="V7" s="1">
        <f>Table2[[#This Row],[Price@50]]*Table2[[#This Row],[Total Qty 50]]</f>
        <v>550.38</v>
      </c>
      <c r="W7" s="1">
        <f>Table2[[#This Row],[Price@100]]*Table2[[#This Row],[Total Qty 100]]</f>
        <v>1100.76</v>
      </c>
      <c r="X7" s="1">
        <f>Table2[[#This Row],[Price@500]]*Table2[[#This Row],[Total Qty 500]]</f>
        <v>4347</v>
      </c>
      <c r="Y7" s="1">
        <f>Table2[[#This Row],[Price@1000]]*Table2[[#This Row],[Total Qty 1000]]</f>
        <v>7924</v>
      </c>
    </row>
    <row r="8" spans="2:25" x14ac:dyDescent="0.3">
      <c r="B8" s="1">
        <v>6</v>
      </c>
      <c r="C8" s="2" t="s">
        <v>23</v>
      </c>
      <c r="D8" s="2" t="s">
        <v>24</v>
      </c>
      <c r="E8" s="1">
        <v>1</v>
      </c>
      <c r="H8" s="1">
        <f t="shared" si="0"/>
        <v>10</v>
      </c>
      <c r="I8" s="1">
        <f t="shared" si="1"/>
        <v>25</v>
      </c>
      <c r="J8" s="1">
        <f t="shared" si="2"/>
        <v>50</v>
      </c>
      <c r="K8" s="1">
        <f t="shared" si="3"/>
        <v>100</v>
      </c>
      <c r="L8" s="1">
        <f t="shared" si="4"/>
        <v>500</v>
      </c>
      <c r="M8" s="1">
        <f t="shared" si="5"/>
        <v>1000</v>
      </c>
      <c r="N8" s="4">
        <v>60</v>
      </c>
      <c r="O8" s="4">
        <v>60</v>
      </c>
      <c r="P8" s="4">
        <v>60</v>
      </c>
      <c r="Q8" s="4">
        <v>60</v>
      </c>
      <c r="R8" s="4">
        <v>60</v>
      </c>
      <c r="S8" s="4">
        <v>60</v>
      </c>
      <c r="T8" s="1">
        <f>Table2[[#This Row],[Price@10]]*Table2[[#This Row],[Total Qty 10]]</f>
        <v>600</v>
      </c>
      <c r="U8" s="1">
        <f>Table2[[#This Row],[Price@25]]*Table2[[#This Row],[Total Qty 25]]</f>
        <v>1500</v>
      </c>
      <c r="V8" s="1">
        <f>Table2[[#This Row],[Price@50]]*Table2[[#This Row],[Total Qty 50]]</f>
        <v>3000</v>
      </c>
      <c r="W8" s="1">
        <f>Table2[[#This Row],[Price@100]]*Table2[[#This Row],[Total Qty 100]]</f>
        <v>6000</v>
      </c>
      <c r="X8" s="1">
        <f>Table2[[#This Row],[Price@500]]*Table2[[#This Row],[Total Qty 500]]</f>
        <v>30000</v>
      </c>
      <c r="Y8" s="1">
        <f>Table2[[#This Row],[Price@1000]]*Table2[[#This Row],[Total Qty 1000]]</f>
        <v>60000</v>
      </c>
    </row>
    <row r="9" spans="2:25" x14ac:dyDescent="0.3">
      <c r="B9" s="1">
        <v>7</v>
      </c>
      <c r="C9" s="2" t="s">
        <v>25</v>
      </c>
      <c r="D9" s="2" t="s">
        <v>26</v>
      </c>
      <c r="E9" s="1">
        <v>1</v>
      </c>
      <c r="F9" s="2" t="s">
        <v>27</v>
      </c>
      <c r="G9" s="2" t="s">
        <v>28</v>
      </c>
      <c r="H9" s="1">
        <f t="shared" si="0"/>
        <v>10</v>
      </c>
      <c r="I9" s="1">
        <f t="shared" si="1"/>
        <v>25</v>
      </c>
      <c r="J9" s="1">
        <f t="shared" si="2"/>
        <v>50</v>
      </c>
      <c r="K9" s="1">
        <f t="shared" si="3"/>
        <v>100</v>
      </c>
      <c r="L9" s="1">
        <f t="shared" si="4"/>
        <v>500</v>
      </c>
      <c r="M9" s="1">
        <f t="shared" si="5"/>
        <v>1000</v>
      </c>
      <c r="N9" s="1">
        <v>63.262999999999998</v>
      </c>
      <c r="O9" s="1">
        <v>63.262999999999998</v>
      </c>
      <c r="P9" s="1">
        <v>63.262999999999998</v>
      </c>
      <c r="Q9" s="1">
        <v>46.287500000000001</v>
      </c>
      <c r="R9" s="1">
        <v>37.1</v>
      </c>
      <c r="S9" s="1">
        <v>35.087499999999999</v>
      </c>
      <c r="T9" s="1">
        <f>Table2[[#This Row],[Price@10]]*Table2[[#This Row],[Total Qty 10]]</f>
        <v>632.63</v>
      </c>
      <c r="U9" s="1">
        <f>Table2[[#This Row],[Price@25]]*Table2[[#This Row],[Total Qty 25]]</f>
        <v>1581.575</v>
      </c>
      <c r="V9" s="1">
        <f>Table2[[#This Row],[Price@50]]*Table2[[#This Row],[Total Qty 50]]</f>
        <v>3163.15</v>
      </c>
      <c r="W9" s="1">
        <f>Table2[[#This Row],[Price@100]]*Table2[[#This Row],[Total Qty 100]]</f>
        <v>4628.75</v>
      </c>
      <c r="X9" s="1">
        <f>Table2[[#This Row],[Price@500]]*Table2[[#This Row],[Total Qty 500]]</f>
        <v>18550</v>
      </c>
      <c r="Y9" s="1">
        <f>Table2[[#This Row],[Price@1000]]*Table2[[#This Row],[Total Qty 1000]]</f>
        <v>35087.5</v>
      </c>
    </row>
    <row r="10" spans="2:25" x14ac:dyDescent="0.3">
      <c r="B10" s="1">
        <v>8</v>
      </c>
      <c r="C10" s="2" t="s">
        <v>29</v>
      </c>
      <c r="D10" s="2" t="s">
        <v>30</v>
      </c>
      <c r="E10" s="1">
        <v>1</v>
      </c>
      <c r="F10" s="2" t="s">
        <v>31</v>
      </c>
      <c r="G10" s="2" t="s">
        <v>32</v>
      </c>
      <c r="H10" s="3">
        <f t="shared" si="0"/>
        <v>10</v>
      </c>
      <c r="I10" s="1">
        <f t="shared" si="1"/>
        <v>25</v>
      </c>
      <c r="J10" s="1">
        <f t="shared" si="2"/>
        <v>50</v>
      </c>
      <c r="K10" s="1">
        <f t="shared" si="3"/>
        <v>100</v>
      </c>
      <c r="L10" s="1">
        <f t="shared" si="4"/>
        <v>500</v>
      </c>
      <c r="M10" s="1">
        <f t="shared" si="5"/>
        <v>1000</v>
      </c>
      <c r="N10" s="1">
        <v>74.900000000000006</v>
      </c>
      <c r="O10" s="1">
        <v>70.209999999999994</v>
      </c>
      <c r="P10" s="1">
        <v>66.849999999999994</v>
      </c>
      <c r="Q10" s="1">
        <v>63.656300000000002</v>
      </c>
      <c r="R10" s="1">
        <v>57.236669999999997</v>
      </c>
      <c r="S10" s="1">
        <v>54.502780000000001</v>
      </c>
      <c r="T10" s="1">
        <f>Table2[[#This Row],[Price@10]]*Table2[[#This Row],[Total Qty 10]]</f>
        <v>749</v>
      </c>
      <c r="U10" s="1">
        <f>Table2[[#This Row],[Price@25]]*Table2[[#This Row],[Total Qty 25]]</f>
        <v>1755.2499999999998</v>
      </c>
      <c r="V10" s="1">
        <f>Table2[[#This Row],[Price@50]]*Table2[[#This Row],[Total Qty 50]]</f>
        <v>3342.4999999999995</v>
      </c>
      <c r="W10" s="1">
        <f>Table2[[#This Row],[Price@100]]*Table2[[#This Row],[Total Qty 100]]</f>
        <v>6365.63</v>
      </c>
      <c r="X10" s="1">
        <f>Table2[[#This Row],[Price@500]]*Table2[[#This Row],[Total Qty 500]]</f>
        <v>28618.334999999999</v>
      </c>
      <c r="Y10" s="1">
        <f>Table2[[#This Row],[Price@1000]]*Table2[[#This Row],[Total Qty 1000]]</f>
        <v>54502.78</v>
      </c>
    </row>
    <row r="11" spans="2:25" x14ac:dyDescent="0.3">
      <c r="B11" s="1">
        <v>9</v>
      </c>
      <c r="C11" s="2" t="s">
        <v>33</v>
      </c>
      <c r="D11" s="2" t="s">
        <v>34</v>
      </c>
      <c r="E11" s="1">
        <v>1</v>
      </c>
      <c r="F11" s="2" t="s">
        <v>35</v>
      </c>
      <c r="G11" s="2" t="s">
        <v>36</v>
      </c>
      <c r="H11" s="1">
        <f t="shared" si="0"/>
        <v>10</v>
      </c>
      <c r="I11" s="1">
        <f t="shared" si="1"/>
        <v>25</v>
      </c>
      <c r="J11" s="1">
        <f t="shared" si="2"/>
        <v>50</v>
      </c>
      <c r="K11" s="1">
        <f t="shared" si="3"/>
        <v>100</v>
      </c>
      <c r="L11" s="1">
        <f t="shared" si="4"/>
        <v>500</v>
      </c>
      <c r="M11" s="1">
        <f t="shared" si="5"/>
        <v>1000</v>
      </c>
      <c r="N11" s="4">
        <v>45</v>
      </c>
      <c r="O11" s="4">
        <v>45</v>
      </c>
      <c r="P11" s="4">
        <v>45</v>
      </c>
      <c r="Q11" s="4">
        <v>45</v>
      </c>
      <c r="R11" s="4">
        <v>45</v>
      </c>
      <c r="S11" s="4">
        <v>45</v>
      </c>
      <c r="T11" s="1">
        <f>Table2[[#This Row],[Price@10]]*Table2[[#This Row],[Total Qty 10]]</f>
        <v>450</v>
      </c>
      <c r="U11" s="1">
        <f>Table2[[#This Row],[Price@25]]*Table2[[#This Row],[Total Qty 25]]</f>
        <v>1125</v>
      </c>
      <c r="V11" s="1">
        <f>Table2[[#This Row],[Price@50]]*Table2[[#This Row],[Total Qty 50]]</f>
        <v>2250</v>
      </c>
      <c r="W11" s="1">
        <f>Table2[[#This Row],[Price@100]]*Table2[[#This Row],[Total Qty 100]]</f>
        <v>4500</v>
      </c>
      <c r="X11" s="1">
        <f>Table2[[#This Row],[Price@500]]*Table2[[#This Row],[Total Qty 500]]</f>
        <v>22500</v>
      </c>
      <c r="Y11" s="1">
        <f>Table2[[#This Row],[Price@1000]]*Table2[[#This Row],[Total Qty 1000]]</f>
        <v>45000</v>
      </c>
    </row>
    <row r="12" spans="2:25" x14ac:dyDescent="0.3">
      <c r="B12" s="1">
        <v>10</v>
      </c>
      <c r="C12" s="2" t="s">
        <v>37</v>
      </c>
      <c r="D12" s="2" t="s">
        <v>38</v>
      </c>
      <c r="E12" s="1">
        <v>1</v>
      </c>
      <c r="F12" s="2" t="s">
        <v>39</v>
      </c>
      <c r="G12" s="2" t="s">
        <v>40</v>
      </c>
      <c r="H12" s="3">
        <f t="shared" si="0"/>
        <v>10</v>
      </c>
      <c r="I12" s="1">
        <f t="shared" si="1"/>
        <v>25</v>
      </c>
      <c r="J12" s="1">
        <f t="shared" si="2"/>
        <v>50</v>
      </c>
      <c r="K12" s="1">
        <f t="shared" si="3"/>
        <v>100</v>
      </c>
      <c r="L12" s="1">
        <f t="shared" si="4"/>
        <v>500</v>
      </c>
      <c r="M12" s="1">
        <f t="shared" si="5"/>
        <v>1000</v>
      </c>
      <c r="N12" s="1">
        <v>0.875</v>
      </c>
      <c r="O12" s="1">
        <v>0.7</v>
      </c>
      <c r="P12" s="1">
        <v>0.61260000000000003</v>
      </c>
      <c r="Q12" s="1">
        <v>0.49880000000000002</v>
      </c>
      <c r="R12" s="1">
        <v>0.42</v>
      </c>
      <c r="S12" s="1">
        <v>0.42</v>
      </c>
      <c r="T12" s="1">
        <f>Table2[[#This Row],[Price@10]]*Table2[[#This Row],[Total Qty 10]]</f>
        <v>8.75</v>
      </c>
      <c r="U12" s="1">
        <f>Table2[[#This Row],[Price@25]]*Table2[[#This Row],[Total Qty 25]]</f>
        <v>17.5</v>
      </c>
      <c r="V12" s="1">
        <f>Table2[[#This Row],[Price@50]]*Table2[[#This Row],[Total Qty 50]]</f>
        <v>30.630000000000003</v>
      </c>
      <c r="W12" s="1">
        <f>Table2[[#This Row],[Price@100]]*Table2[[#This Row],[Total Qty 100]]</f>
        <v>49.88</v>
      </c>
      <c r="X12" s="1">
        <f>Table2[[#This Row],[Price@500]]*Table2[[#This Row],[Total Qty 500]]</f>
        <v>210</v>
      </c>
      <c r="Y12" s="1">
        <f>Table2[[#This Row],[Price@1000]]*Table2[[#This Row],[Total Qty 1000]]</f>
        <v>420</v>
      </c>
    </row>
    <row r="13" spans="2:25" x14ac:dyDescent="0.3">
      <c r="B13" s="1">
        <v>11</v>
      </c>
      <c r="C13" s="2" t="s">
        <v>41</v>
      </c>
      <c r="D13" s="2" t="s">
        <v>42</v>
      </c>
      <c r="E13" s="1">
        <v>3</v>
      </c>
      <c r="F13" s="2" t="s">
        <v>43</v>
      </c>
      <c r="G13" s="2" t="s">
        <v>44</v>
      </c>
      <c r="H13" s="3">
        <f t="shared" si="0"/>
        <v>30</v>
      </c>
      <c r="I13" s="1">
        <f t="shared" si="1"/>
        <v>75</v>
      </c>
      <c r="J13" s="1">
        <f t="shared" si="2"/>
        <v>150</v>
      </c>
      <c r="K13" s="1">
        <f t="shared" si="3"/>
        <v>300</v>
      </c>
      <c r="L13" s="1">
        <f t="shared" si="4"/>
        <v>1500</v>
      </c>
      <c r="M13" s="1">
        <f t="shared" si="5"/>
        <v>3000</v>
      </c>
      <c r="N13" s="1">
        <v>0.91</v>
      </c>
      <c r="O13" s="1">
        <v>0.80500000000000005</v>
      </c>
      <c r="P13" s="1">
        <v>0.7</v>
      </c>
      <c r="Q13" s="1">
        <v>0.59152000000000005</v>
      </c>
      <c r="R13" s="1">
        <v>0.45850000000000002</v>
      </c>
      <c r="S13" s="1">
        <v>0.45850000000000002</v>
      </c>
      <c r="T13" s="1">
        <f>Table2[[#This Row],[Price@10]]*Table2[[#This Row],[Total Qty 10]]</f>
        <v>27.3</v>
      </c>
      <c r="U13" s="1">
        <f>Table2[[#This Row],[Price@25]]*Table2[[#This Row],[Total Qty 25]]</f>
        <v>60.375000000000007</v>
      </c>
      <c r="V13" s="1">
        <f>Table2[[#This Row],[Price@50]]*Table2[[#This Row],[Total Qty 50]]</f>
        <v>105</v>
      </c>
      <c r="W13" s="1">
        <f>Table2[[#This Row],[Price@100]]*Table2[[#This Row],[Total Qty 100]]</f>
        <v>177.45600000000002</v>
      </c>
      <c r="X13" s="1">
        <f>Table2[[#This Row],[Price@500]]*Table2[[#This Row],[Total Qty 500]]</f>
        <v>687.75</v>
      </c>
      <c r="Y13" s="1">
        <f>Table2[[#This Row],[Price@1000]]*Table2[[#This Row],[Total Qty 1000]]</f>
        <v>1375.5</v>
      </c>
    </row>
    <row r="14" spans="2:25" x14ac:dyDescent="0.3">
      <c r="B14" s="1">
        <v>12</v>
      </c>
      <c r="C14" s="2" t="s">
        <v>45</v>
      </c>
      <c r="D14" s="2" t="s">
        <v>46</v>
      </c>
      <c r="E14" s="1">
        <v>8</v>
      </c>
      <c r="F14" s="2" t="s">
        <v>39</v>
      </c>
      <c r="G14" s="2" t="s">
        <v>47</v>
      </c>
      <c r="H14" s="3">
        <f t="shared" si="0"/>
        <v>80</v>
      </c>
      <c r="I14" s="1">
        <f t="shared" si="1"/>
        <v>200</v>
      </c>
      <c r="J14" s="1">
        <f t="shared" si="2"/>
        <v>400</v>
      </c>
      <c r="K14" s="1">
        <f t="shared" si="3"/>
        <v>800</v>
      </c>
      <c r="L14" s="1">
        <f t="shared" si="4"/>
        <v>4000</v>
      </c>
      <c r="M14" s="1">
        <f t="shared" si="5"/>
        <v>8000</v>
      </c>
      <c r="N14" s="1">
        <v>0.99760000000000004</v>
      </c>
      <c r="O14" s="1">
        <v>0.79630000000000001</v>
      </c>
      <c r="P14" s="1">
        <v>0.60899999999999999</v>
      </c>
      <c r="Q14" s="1">
        <v>0.50226000000000004</v>
      </c>
      <c r="R14" s="1">
        <v>0.42</v>
      </c>
      <c r="S14" s="1">
        <v>0.29120000000000001</v>
      </c>
      <c r="T14" s="1">
        <f>Table2[[#This Row],[Price@10]]*Table2[[#This Row],[Total Qty 10]]</f>
        <v>79.808000000000007</v>
      </c>
      <c r="U14" s="1">
        <f>Table2[[#This Row],[Price@25]]*Table2[[#This Row],[Total Qty 25]]</f>
        <v>159.26</v>
      </c>
      <c r="V14" s="1">
        <f>Table2[[#This Row],[Price@50]]*Table2[[#This Row],[Total Qty 50]]</f>
        <v>243.6</v>
      </c>
      <c r="W14" s="1">
        <f>Table2[[#This Row],[Price@100]]*Table2[[#This Row],[Total Qty 100]]</f>
        <v>401.80800000000005</v>
      </c>
      <c r="X14" s="1">
        <f>Table2[[#This Row],[Price@500]]*Table2[[#This Row],[Total Qty 500]]</f>
        <v>1680</v>
      </c>
      <c r="Y14" s="1">
        <f>Table2[[#This Row],[Price@1000]]*Table2[[#This Row],[Total Qty 1000]]</f>
        <v>2329.6</v>
      </c>
    </row>
    <row r="15" spans="2:25" x14ac:dyDescent="0.3">
      <c r="B15" s="1">
        <v>13</v>
      </c>
      <c r="C15" s="2" t="s">
        <v>48</v>
      </c>
      <c r="D15" s="2" t="s">
        <v>49</v>
      </c>
      <c r="E15" s="1">
        <v>2</v>
      </c>
      <c r="F15" s="2" t="s">
        <v>14</v>
      </c>
      <c r="G15" s="2" t="s">
        <v>50</v>
      </c>
      <c r="H15" s="3">
        <f t="shared" si="0"/>
        <v>20</v>
      </c>
      <c r="I15" s="1">
        <f t="shared" si="1"/>
        <v>50</v>
      </c>
      <c r="J15" s="1">
        <f t="shared" si="2"/>
        <v>100</v>
      </c>
      <c r="K15" s="1">
        <f t="shared" si="3"/>
        <v>200</v>
      </c>
      <c r="L15" s="1">
        <f t="shared" si="4"/>
        <v>1000</v>
      </c>
      <c r="M15" s="1">
        <f t="shared" si="5"/>
        <v>2000</v>
      </c>
      <c r="N15" s="1">
        <v>1.3129999999999999</v>
      </c>
      <c r="O15" s="1">
        <v>0.75260000000000005</v>
      </c>
      <c r="P15" s="1">
        <v>0.59499999999999997</v>
      </c>
      <c r="Q15" s="1">
        <v>0.59499999999999997</v>
      </c>
      <c r="R15" s="1">
        <v>0.30187999999999998</v>
      </c>
      <c r="S15" s="1">
        <v>0.30187999999999998</v>
      </c>
      <c r="T15" s="1">
        <f>Table2[[#This Row],[Price@10]]*Table2[[#This Row],[Total Qty 10]]</f>
        <v>26.259999999999998</v>
      </c>
      <c r="U15" s="1">
        <f>Table2[[#This Row],[Price@25]]*Table2[[#This Row],[Total Qty 25]]</f>
        <v>37.630000000000003</v>
      </c>
      <c r="V15" s="1">
        <f>Table2[[#This Row],[Price@50]]*Table2[[#This Row],[Total Qty 50]]</f>
        <v>59.5</v>
      </c>
      <c r="W15" s="1">
        <f>Table2[[#This Row],[Price@100]]*Table2[[#This Row],[Total Qty 100]]</f>
        <v>119</v>
      </c>
      <c r="X15" s="1">
        <f>Table2[[#This Row],[Price@500]]*Table2[[#This Row],[Total Qty 500]]</f>
        <v>301.88</v>
      </c>
      <c r="Y15" s="1">
        <f>Table2[[#This Row],[Price@1000]]*Table2[[#This Row],[Total Qty 1000]]</f>
        <v>603.76</v>
      </c>
    </row>
    <row r="16" spans="2:25" x14ac:dyDescent="0.3">
      <c r="B16" s="1">
        <v>14</v>
      </c>
      <c r="C16" s="2" t="s">
        <v>51</v>
      </c>
      <c r="D16" s="2" t="s">
        <v>52</v>
      </c>
      <c r="E16" s="1">
        <v>2</v>
      </c>
      <c r="F16" s="2" t="s">
        <v>39</v>
      </c>
      <c r="G16" s="2" t="s">
        <v>53</v>
      </c>
      <c r="H16" s="3">
        <f t="shared" si="0"/>
        <v>20</v>
      </c>
      <c r="I16" s="1">
        <f t="shared" si="1"/>
        <v>50</v>
      </c>
      <c r="J16" s="1">
        <f t="shared" si="2"/>
        <v>100</v>
      </c>
      <c r="K16" s="1">
        <f t="shared" si="3"/>
        <v>200</v>
      </c>
      <c r="L16" s="1">
        <f t="shared" si="4"/>
        <v>1000</v>
      </c>
      <c r="M16" s="1">
        <f t="shared" si="5"/>
        <v>2000</v>
      </c>
      <c r="N16" s="1">
        <v>0.875</v>
      </c>
      <c r="O16" s="1">
        <v>0.61260000000000003</v>
      </c>
      <c r="P16" s="1">
        <v>0.49880000000000002</v>
      </c>
      <c r="Q16" s="1">
        <v>0.49880000000000002</v>
      </c>
      <c r="R16" s="1">
        <v>0.42</v>
      </c>
      <c r="S16" s="1">
        <v>0.42</v>
      </c>
      <c r="T16" s="1">
        <f>Table2[[#This Row],[Price@10]]*Table2[[#This Row],[Total Qty 10]]</f>
        <v>17.5</v>
      </c>
      <c r="U16" s="1">
        <f>Table2[[#This Row],[Price@25]]*Table2[[#This Row],[Total Qty 25]]</f>
        <v>30.630000000000003</v>
      </c>
      <c r="V16" s="1">
        <f>Table2[[#This Row],[Price@50]]*Table2[[#This Row],[Total Qty 50]]</f>
        <v>49.88</v>
      </c>
      <c r="W16" s="1">
        <f>Table2[[#This Row],[Price@100]]*Table2[[#This Row],[Total Qty 100]]</f>
        <v>99.76</v>
      </c>
      <c r="X16" s="1">
        <f>Table2[[#This Row],[Price@500]]*Table2[[#This Row],[Total Qty 500]]</f>
        <v>420</v>
      </c>
      <c r="Y16" s="1">
        <f>Table2[[#This Row],[Price@1000]]*Table2[[#This Row],[Total Qty 1000]]</f>
        <v>840</v>
      </c>
    </row>
    <row r="17" spans="2:25" x14ac:dyDescent="0.3">
      <c r="B17" s="1">
        <v>15</v>
      </c>
      <c r="C17" s="2" t="s">
        <v>54</v>
      </c>
      <c r="D17" s="2" t="s">
        <v>55</v>
      </c>
      <c r="E17" s="1">
        <v>2</v>
      </c>
      <c r="F17" s="2" t="s">
        <v>56</v>
      </c>
      <c r="G17" s="2" t="s">
        <v>106</v>
      </c>
      <c r="H17" s="3">
        <f t="shared" si="0"/>
        <v>20</v>
      </c>
      <c r="I17" s="1">
        <f t="shared" si="1"/>
        <v>50</v>
      </c>
      <c r="J17" s="1">
        <f t="shared" si="2"/>
        <v>100</v>
      </c>
      <c r="K17" s="1">
        <f t="shared" si="3"/>
        <v>200</v>
      </c>
      <c r="L17" s="1">
        <f t="shared" si="4"/>
        <v>1000</v>
      </c>
      <c r="M17" s="1">
        <f t="shared" si="5"/>
        <v>2000</v>
      </c>
      <c r="N17" s="1">
        <v>18.024999999999999</v>
      </c>
      <c r="O17" s="1">
        <v>16.87</v>
      </c>
      <c r="P17" s="1">
        <v>15.1463</v>
      </c>
      <c r="Q17" s="1">
        <v>15.1463</v>
      </c>
      <c r="R17" s="1">
        <v>12.509880000000001</v>
      </c>
      <c r="S17" s="1">
        <v>11.819940000000001</v>
      </c>
      <c r="T17" s="1">
        <f>Table2[[#This Row],[Price@10]]*Table2[[#This Row],[Total Qty 10]]</f>
        <v>360.5</v>
      </c>
      <c r="U17" s="1">
        <f>Table2[[#This Row],[Price@25]]*Table2[[#This Row],[Total Qty 25]]</f>
        <v>843.5</v>
      </c>
      <c r="V17" s="1">
        <f>Table2[[#This Row],[Price@50]]*Table2[[#This Row],[Total Qty 50]]</f>
        <v>1514.63</v>
      </c>
      <c r="W17" s="1">
        <f>Table2[[#This Row],[Price@100]]*Table2[[#This Row],[Total Qty 100]]</f>
        <v>3029.26</v>
      </c>
      <c r="X17" s="1">
        <f>Table2[[#This Row],[Price@500]]*Table2[[#This Row],[Total Qty 500]]</f>
        <v>12509.880000000001</v>
      </c>
      <c r="Y17" s="1">
        <f>Table2[[#This Row],[Price@1000]]*Table2[[#This Row],[Total Qty 1000]]</f>
        <v>23639.88</v>
      </c>
    </row>
    <row r="18" spans="2:25" x14ac:dyDescent="0.3">
      <c r="B18" s="1">
        <v>16</v>
      </c>
      <c r="C18" s="2" t="s">
        <v>57</v>
      </c>
      <c r="D18" s="2" t="s">
        <v>58</v>
      </c>
      <c r="E18" s="1">
        <v>1</v>
      </c>
      <c r="F18" s="2" t="s">
        <v>59</v>
      </c>
      <c r="G18" s="2" t="s">
        <v>60</v>
      </c>
      <c r="H18" s="3">
        <f t="shared" si="0"/>
        <v>10</v>
      </c>
      <c r="I18" s="1">
        <f t="shared" si="1"/>
        <v>25</v>
      </c>
      <c r="J18" s="1">
        <f t="shared" si="2"/>
        <v>50</v>
      </c>
      <c r="K18" s="1">
        <f t="shared" si="3"/>
        <v>100</v>
      </c>
      <c r="L18" s="1">
        <f t="shared" si="4"/>
        <v>500</v>
      </c>
      <c r="M18" s="1">
        <f t="shared" si="5"/>
        <v>1000</v>
      </c>
      <c r="N18" s="1">
        <v>2</v>
      </c>
      <c r="O18" s="1">
        <v>2</v>
      </c>
      <c r="P18" s="1">
        <v>2</v>
      </c>
      <c r="Q18" s="1">
        <v>2</v>
      </c>
      <c r="R18" s="1">
        <v>2</v>
      </c>
      <c r="S18" s="1">
        <v>2</v>
      </c>
      <c r="T18" s="1">
        <f>Table2[[#This Row],[Price@10]]*Table2[[#This Row],[Total Qty 10]]</f>
        <v>20</v>
      </c>
      <c r="U18" s="1">
        <f>Table2[[#This Row],[Price@25]]*Table2[[#This Row],[Total Qty 25]]</f>
        <v>50</v>
      </c>
      <c r="V18" s="1">
        <f>Table2[[#This Row],[Price@50]]*Table2[[#This Row],[Total Qty 50]]</f>
        <v>100</v>
      </c>
      <c r="W18" s="1">
        <f>Table2[[#This Row],[Price@100]]*Table2[[#This Row],[Total Qty 100]]</f>
        <v>200</v>
      </c>
      <c r="X18" s="1">
        <f>Table2[[#This Row],[Price@500]]*Table2[[#This Row],[Total Qty 500]]</f>
        <v>1000</v>
      </c>
      <c r="Y18" s="1">
        <f>Table2[[#This Row],[Price@1000]]*Table2[[#This Row],[Total Qty 1000]]</f>
        <v>2000</v>
      </c>
    </row>
    <row r="19" spans="2:25" x14ac:dyDescent="0.3">
      <c r="B19" s="1">
        <v>17</v>
      </c>
      <c r="C19" s="2" t="s">
        <v>61</v>
      </c>
      <c r="D19" s="2" t="s">
        <v>62</v>
      </c>
      <c r="E19" s="1">
        <v>1</v>
      </c>
      <c r="F19" s="2" t="s">
        <v>64</v>
      </c>
      <c r="G19" s="2" t="s">
        <v>63</v>
      </c>
      <c r="H19" s="1">
        <f t="shared" si="0"/>
        <v>10</v>
      </c>
      <c r="I19" s="1">
        <f t="shared" si="1"/>
        <v>25</v>
      </c>
      <c r="J19" s="1">
        <f t="shared" si="2"/>
        <v>50</v>
      </c>
      <c r="K19" s="1">
        <f t="shared" si="3"/>
        <v>100</v>
      </c>
      <c r="L19" s="1">
        <f t="shared" si="4"/>
        <v>500</v>
      </c>
      <c r="M19" s="1">
        <f t="shared" si="5"/>
        <v>1000</v>
      </c>
      <c r="N19" s="1">
        <v>224.875</v>
      </c>
      <c r="O19" s="1">
        <v>206.29</v>
      </c>
      <c r="P19" s="1">
        <v>206.29</v>
      </c>
      <c r="Q19" s="1">
        <v>206.29</v>
      </c>
      <c r="R19" s="1">
        <v>173.94181</v>
      </c>
      <c r="S19" s="1">
        <v>168.47031000000001</v>
      </c>
      <c r="T19" s="1">
        <f>Table2[[#This Row],[Price@10]]*Table2[[#This Row],[Total Qty 10]]</f>
        <v>2248.75</v>
      </c>
      <c r="U19" s="1">
        <f>Table2[[#This Row],[Price@25]]*Table2[[#This Row],[Total Qty 25]]</f>
        <v>5157.25</v>
      </c>
      <c r="V19" s="1">
        <f>Table2[[#This Row],[Price@50]]*Table2[[#This Row],[Total Qty 50]]</f>
        <v>10314.5</v>
      </c>
      <c r="W19" s="1">
        <f>Table2[[#This Row],[Price@100]]*Table2[[#This Row],[Total Qty 100]]</f>
        <v>20629</v>
      </c>
      <c r="X19" s="1">
        <f>Table2[[#This Row],[Price@500]]*Table2[[#This Row],[Total Qty 500]]</f>
        <v>86970.904999999999</v>
      </c>
      <c r="Y19" s="1">
        <f>Table2[[#This Row],[Price@1000]]*Table2[[#This Row],[Total Qty 1000]]</f>
        <v>168470.31</v>
      </c>
    </row>
    <row r="20" spans="2:25" x14ac:dyDescent="0.3">
      <c r="B20" s="1">
        <v>18</v>
      </c>
      <c r="C20" s="2" t="s">
        <v>65</v>
      </c>
      <c r="D20" s="2" t="s">
        <v>66</v>
      </c>
      <c r="E20" s="1">
        <v>1</v>
      </c>
      <c r="F20" s="2" t="s">
        <v>64</v>
      </c>
      <c r="G20" s="2" t="s">
        <v>67</v>
      </c>
      <c r="H20" s="3">
        <f t="shared" si="0"/>
        <v>10</v>
      </c>
      <c r="I20" s="1">
        <f t="shared" si="1"/>
        <v>25</v>
      </c>
      <c r="J20" s="1">
        <f t="shared" si="2"/>
        <v>50</v>
      </c>
      <c r="K20" s="1">
        <f t="shared" si="3"/>
        <v>100</v>
      </c>
      <c r="L20" s="1">
        <f t="shared" si="4"/>
        <v>500</v>
      </c>
      <c r="M20" s="1">
        <f t="shared" si="5"/>
        <v>1000</v>
      </c>
      <c r="N20" s="1">
        <v>61.075000000000003</v>
      </c>
      <c r="O20" s="1">
        <v>55.09</v>
      </c>
      <c r="P20" s="1">
        <v>55.09</v>
      </c>
      <c r="Q20" s="1">
        <v>48.501300000000001</v>
      </c>
      <c r="R20" s="1">
        <v>43.47</v>
      </c>
      <c r="S20" s="1">
        <v>41.912500000000001</v>
      </c>
      <c r="T20" s="1">
        <f>Table2[[#This Row],[Price@10]]*Table2[[#This Row],[Total Qty 10]]</f>
        <v>610.75</v>
      </c>
      <c r="U20" s="1">
        <f>Table2[[#This Row],[Price@25]]*Table2[[#This Row],[Total Qty 25]]</f>
        <v>1377.25</v>
      </c>
      <c r="V20" s="1">
        <f>Table2[[#This Row],[Price@50]]*Table2[[#This Row],[Total Qty 50]]</f>
        <v>2754.5</v>
      </c>
      <c r="W20" s="1">
        <f>Table2[[#This Row],[Price@100]]*Table2[[#This Row],[Total Qty 100]]</f>
        <v>4850.13</v>
      </c>
      <c r="X20" s="1">
        <f>Table2[[#This Row],[Price@500]]*Table2[[#This Row],[Total Qty 500]]</f>
        <v>21735</v>
      </c>
      <c r="Y20" s="1">
        <f>Table2[[#This Row],[Price@1000]]*Table2[[#This Row],[Total Qty 1000]]</f>
        <v>41912.5</v>
      </c>
    </row>
    <row r="21" spans="2:25" x14ac:dyDescent="0.3">
      <c r="B21" s="1">
        <v>19</v>
      </c>
      <c r="C21" s="2" t="s">
        <v>68</v>
      </c>
      <c r="D21" s="2" t="s">
        <v>69</v>
      </c>
      <c r="E21" s="1">
        <v>1</v>
      </c>
      <c r="F21" s="2" t="s">
        <v>71</v>
      </c>
      <c r="G21" s="2" t="s">
        <v>70</v>
      </c>
      <c r="H21" s="3">
        <f t="shared" si="0"/>
        <v>10</v>
      </c>
      <c r="I21" s="1">
        <f t="shared" si="1"/>
        <v>25</v>
      </c>
      <c r="J21" s="1">
        <f t="shared" si="2"/>
        <v>50</v>
      </c>
      <c r="K21" s="1">
        <f t="shared" si="3"/>
        <v>100</v>
      </c>
      <c r="L21" s="1">
        <f t="shared" si="4"/>
        <v>500</v>
      </c>
      <c r="M21" s="1">
        <f t="shared" si="5"/>
        <v>1000</v>
      </c>
      <c r="N21" s="1">
        <v>364.86</v>
      </c>
      <c r="O21" s="1">
        <v>364.86</v>
      </c>
      <c r="P21" s="1">
        <v>364.86</v>
      </c>
      <c r="Q21" s="1">
        <v>319.66000000000003</v>
      </c>
      <c r="R21" s="1">
        <v>224.12</v>
      </c>
      <c r="S21" s="1">
        <v>180.61</v>
      </c>
      <c r="T21" s="1">
        <f>Table2[[#This Row],[Price@10]]*Table2[[#This Row],[Total Qty 10]]</f>
        <v>3648.6000000000004</v>
      </c>
      <c r="U21" s="1">
        <f>Table2[[#This Row],[Price@25]]*Table2[[#This Row],[Total Qty 25]]</f>
        <v>9121.5</v>
      </c>
      <c r="V21" s="1">
        <f>Table2[[#This Row],[Price@50]]*Table2[[#This Row],[Total Qty 50]]</f>
        <v>18243</v>
      </c>
      <c r="W21" s="1">
        <f>Table2[[#This Row],[Price@100]]*Table2[[#This Row],[Total Qty 100]]</f>
        <v>31966.000000000004</v>
      </c>
      <c r="X21" s="1">
        <f>Table2[[#This Row],[Price@500]]*Table2[[#This Row],[Total Qty 500]]</f>
        <v>112060</v>
      </c>
      <c r="Y21" s="1">
        <f>Table2[[#This Row],[Price@1000]]*Table2[[#This Row],[Total Qty 1000]]</f>
        <v>180610</v>
      </c>
    </row>
    <row r="22" spans="2:25" x14ac:dyDescent="0.3">
      <c r="B22" s="1">
        <v>20</v>
      </c>
      <c r="C22" s="2" t="s">
        <v>72</v>
      </c>
      <c r="D22" s="2" t="s">
        <v>73</v>
      </c>
      <c r="E22" s="1">
        <v>1</v>
      </c>
      <c r="F22" s="2" t="s">
        <v>75</v>
      </c>
      <c r="G22" s="2" t="s">
        <v>74</v>
      </c>
      <c r="H22" s="3">
        <f t="shared" si="0"/>
        <v>10</v>
      </c>
      <c r="I22" s="1">
        <f t="shared" si="1"/>
        <v>25</v>
      </c>
      <c r="J22" s="1">
        <f t="shared" si="2"/>
        <v>50</v>
      </c>
      <c r="K22" s="1">
        <f t="shared" si="3"/>
        <v>100</v>
      </c>
      <c r="L22" s="1">
        <f t="shared" si="4"/>
        <v>500</v>
      </c>
      <c r="M22" s="1">
        <f t="shared" si="5"/>
        <v>1000</v>
      </c>
      <c r="N22" s="1">
        <v>17.324999999999999</v>
      </c>
      <c r="O22" s="1">
        <v>15.3652</v>
      </c>
      <c r="P22" s="1">
        <v>15.3652</v>
      </c>
      <c r="Q22" s="1">
        <v>13.2125</v>
      </c>
      <c r="R22" s="1">
        <v>11.55</v>
      </c>
      <c r="S22" s="1">
        <v>11.036379999999999</v>
      </c>
      <c r="T22" s="1">
        <f>Table2[[#This Row],[Price@10]]*Table2[[#This Row],[Total Qty 10]]</f>
        <v>173.25</v>
      </c>
      <c r="U22" s="1">
        <f>Table2[[#This Row],[Price@25]]*Table2[[#This Row],[Total Qty 25]]</f>
        <v>384.13</v>
      </c>
      <c r="V22" s="1">
        <f>Table2[[#This Row],[Price@50]]*Table2[[#This Row],[Total Qty 50]]</f>
        <v>768.26</v>
      </c>
      <c r="W22" s="1">
        <f>Table2[[#This Row],[Price@100]]*Table2[[#This Row],[Total Qty 100]]</f>
        <v>1321.25</v>
      </c>
      <c r="X22" s="1">
        <f>Table2[[#This Row],[Price@500]]*Table2[[#This Row],[Total Qty 500]]</f>
        <v>5775</v>
      </c>
      <c r="Y22" s="1">
        <f>Table2[[#This Row],[Price@1000]]*Table2[[#This Row],[Total Qty 1000]]</f>
        <v>11036.38</v>
      </c>
    </row>
    <row r="23" spans="2:25" x14ac:dyDescent="0.3">
      <c r="B23" s="1">
        <v>21</v>
      </c>
      <c r="C23" s="2" t="s">
        <v>76</v>
      </c>
      <c r="D23" s="2" t="s">
        <v>77</v>
      </c>
      <c r="E23" s="1">
        <v>1</v>
      </c>
      <c r="F23" s="2" t="s">
        <v>78</v>
      </c>
      <c r="G23" s="2" t="s">
        <v>79</v>
      </c>
      <c r="H23" s="1">
        <f t="shared" si="0"/>
        <v>10</v>
      </c>
      <c r="I23" s="1">
        <f t="shared" si="1"/>
        <v>25</v>
      </c>
      <c r="J23" s="1">
        <f t="shared" si="2"/>
        <v>50</v>
      </c>
      <c r="K23" s="1">
        <f t="shared" si="3"/>
        <v>100</v>
      </c>
      <c r="L23" s="1">
        <f t="shared" si="4"/>
        <v>500</v>
      </c>
      <c r="M23" s="1">
        <f t="shared" si="5"/>
        <v>1000</v>
      </c>
      <c r="N23" s="1">
        <v>62.125</v>
      </c>
      <c r="O23" s="1">
        <v>58.73</v>
      </c>
      <c r="P23" s="1">
        <v>56.297600000000003</v>
      </c>
      <c r="Q23" s="1">
        <v>53.97</v>
      </c>
      <c r="R23" s="1">
        <v>48.924759999999999</v>
      </c>
      <c r="S23" s="1">
        <v>46.90175</v>
      </c>
      <c r="T23" s="1">
        <f>Table2[[#This Row],[Price@10]]*Table2[[#This Row],[Total Qty 10]]</f>
        <v>621.25</v>
      </c>
      <c r="U23" s="1">
        <f>Table2[[#This Row],[Price@25]]*Table2[[#This Row],[Total Qty 25]]</f>
        <v>1468.25</v>
      </c>
      <c r="V23" s="1">
        <f>Table2[[#This Row],[Price@50]]*Table2[[#This Row],[Total Qty 50]]</f>
        <v>2814.88</v>
      </c>
      <c r="W23" s="1">
        <f>Table2[[#This Row],[Price@100]]*Table2[[#This Row],[Total Qty 100]]</f>
        <v>5397</v>
      </c>
      <c r="X23" s="1">
        <f>Table2[[#This Row],[Price@500]]*Table2[[#This Row],[Total Qty 500]]</f>
        <v>24462.38</v>
      </c>
      <c r="Y23" s="1">
        <f>Table2[[#This Row],[Price@1000]]*Table2[[#This Row],[Total Qty 1000]]</f>
        <v>46901.75</v>
      </c>
    </row>
    <row r="24" spans="2:25" x14ac:dyDescent="0.3">
      <c r="B24" s="1">
        <v>22</v>
      </c>
      <c r="C24" t="s">
        <v>80</v>
      </c>
      <c r="E24" s="1">
        <v>1</v>
      </c>
      <c r="H24" s="1">
        <f t="shared" si="0"/>
        <v>10</v>
      </c>
      <c r="I24" s="1">
        <f t="shared" si="1"/>
        <v>25</v>
      </c>
      <c r="J24" s="1">
        <f t="shared" si="2"/>
        <v>50</v>
      </c>
      <c r="K24" s="1">
        <f t="shared" si="3"/>
        <v>100</v>
      </c>
      <c r="L24" s="1">
        <f t="shared" si="4"/>
        <v>500</v>
      </c>
      <c r="M24" s="1">
        <f t="shared" si="5"/>
        <v>1000</v>
      </c>
      <c r="N24" s="1">
        <f>T38</f>
        <v>247.64959999999999</v>
      </c>
      <c r="O24" s="1">
        <f>U38</f>
        <v>132.14582655999999</v>
      </c>
      <c r="P24" s="1">
        <f t="shared" ref="P24:S24" si="6">V38</f>
        <v>92.571420480000015</v>
      </c>
      <c r="Q24" s="1">
        <f t="shared" si="6"/>
        <v>76.796140960000002</v>
      </c>
      <c r="R24" s="1">
        <f t="shared" si="6"/>
        <v>44.83448358399999</v>
      </c>
      <c r="S24" s="1">
        <f t="shared" si="6"/>
        <v>40.595960679999997</v>
      </c>
      <c r="T24" s="1">
        <f>Table2[[#This Row],[Price@10]]*Table2[[#This Row],[Total Qty 10]]</f>
        <v>2476.4960000000001</v>
      </c>
      <c r="U24" s="1">
        <f>Table2[[#This Row],[Price@25]]*Table2[[#This Row],[Total Qty 25]]</f>
        <v>3303.6456639999997</v>
      </c>
      <c r="V24" s="1">
        <f>Table2[[#This Row],[Price@50]]*Table2[[#This Row],[Total Qty 50]]</f>
        <v>4628.5710240000008</v>
      </c>
      <c r="W24" s="1">
        <f>Table2[[#This Row],[Price@100]]*Table2[[#This Row],[Total Qty 100]]</f>
        <v>7679.6140960000002</v>
      </c>
      <c r="X24" s="1">
        <f>Table2[[#This Row],[Price@500]]*Table2[[#This Row],[Total Qty 500]]</f>
        <v>22417.241791999993</v>
      </c>
      <c r="Y24" s="1">
        <f>Table2[[#This Row],[Price@1000]]*Table2[[#This Row],[Total Qty 1000]]</f>
        <v>40595.960679999997</v>
      </c>
    </row>
    <row r="25" spans="2:25" x14ac:dyDescent="0.3">
      <c r="B25" s="1">
        <v>23</v>
      </c>
      <c r="C25" t="s">
        <v>99</v>
      </c>
      <c r="E25" s="1">
        <v>1</v>
      </c>
      <c r="H25" s="1">
        <f t="shared" si="0"/>
        <v>10</v>
      </c>
      <c r="I25" s="1">
        <f t="shared" si="1"/>
        <v>25</v>
      </c>
      <c r="J25" s="1">
        <f t="shared" si="2"/>
        <v>50</v>
      </c>
      <c r="K25" s="1">
        <f t="shared" si="3"/>
        <v>100</v>
      </c>
      <c r="L25" s="1">
        <f t="shared" si="4"/>
        <v>500</v>
      </c>
      <c r="M25" s="1">
        <f t="shared" si="5"/>
        <v>1000</v>
      </c>
      <c r="N25" s="4">
        <v>300</v>
      </c>
      <c r="O25" s="4">
        <v>300</v>
      </c>
      <c r="P25" s="4">
        <v>300</v>
      </c>
      <c r="Q25" s="4">
        <v>300</v>
      </c>
      <c r="R25" s="4">
        <v>300</v>
      </c>
      <c r="S25" s="4">
        <v>300</v>
      </c>
      <c r="T25" s="4">
        <f>Table2[[#This Row],[Price@10]]*Table2[[#This Row],[Total Qty 10]]</f>
        <v>3000</v>
      </c>
      <c r="U25" s="1">
        <f>Table2[[#This Row],[Price@25]]*Table2[[#This Row],[Total Qty 25]]</f>
        <v>7500</v>
      </c>
      <c r="V25" s="1">
        <f>Table2[[#This Row],[Price@50]]*Table2[[#This Row],[Total Qty 50]]</f>
        <v>15000</v>
      </c>
      <c r="W25" s="1">
        <f>Table2[[#This Row],[Price@100]]*Table2[[#This Row],[Total Qty 100]]</f>
        <v>30000</v>
      </c>
      <c r="X25" s="1">
        <f>Table2[[#This Row],[Price@500]]*Table2[[#This Row],[Total Qty 500]]</f>
        <v>150000</v>
      </c>
      <c r="Y25" s="1">
        <f>Table2[[#This Row],[Price@1000]]*Table2[[#This Row],[Total Qty 1000]]</f>
        <v>300000</v>
      </c>
    </row>
    <row r="26" spans="2:25" x14ac:dyDescent="0.3">
      <c r="B26" s="1">
        <v>24</v>
      </c>
      <c r="C26" t="s">
        <v>101</v>
      </c>
      <c r="E26" s="1">
        <v>1</v>
      </c>
      <c r="H26" s="1">
        <f>E26*10</f>
        <v>10</v>
      </c>
      <c r="I26" s="1">
        <f>E26*25</f>
        <v>25</v>
      </c>
      <c r="J26" s="1">
        <f>E26*50</f>
        <v>50</v>
      </c>
      <c r="K26" s="1">
        <f>E26*100</f>
        <v>100</v>
      </c>
      <c r="L26" s="1">
        <f>E26*500</f>
        <v>500</v>
      </c>
      <c r="M26" s="1">
        <f>E26*1000</f>
        <v>1000</v>
      </c>
      <c r="N26" s="4">
        <v>100</v>
      </c>
      <c r="O26" s="4">
        <v>100</v>
      </c>
      <c r="P26" s="4">
        <v>100</v>
      </c>
      <c r="Q26" s="4">
        <v>100</v>
      </c>
      <c r="R26" s="4">
        <v>100</v>
      </c>
      <c r="S26" s="4">
        <v>100</v>
      </c>
      <c r="T26" s="1">
        <f>Table2[[#This Row],[Price@10]]*Table2[[#This Row],[Total Qty 10]]</f>
        <v>1000</v>
      </c>
      <c r="U26" s="1">
        <f>Table2[[#This Row],[Price@25]]*Table2[[#This Row],[Total Qty 25]]</f>
        <v>2500</v>
      </c>
      <c r="V26" s="1">
        <f>Table2[[#This Row],[Price@50]]*Table2[[#This Row],[Total Qty 50]]</f>
        <v>5000</v>
      </c>
      <c r="W26" s="1">
        <f>Table2[[#This Row],[Price@100]]*Table2[[#This Row],[Total Qty 100]]</f>
        <v>10000</v>
      </c>
      <c r="X26" s="1">
        <f>Table2[[#This Row],[Price@500]]*Table2[[#This Row],[Total Qty 500]]</f>
        <v>50000</v>
      </c>
      <c r="Y26" s="1">
        <f>Table2[[#This Row],[Price@1000]]*Table2[[#This Row],[Total Qty 1000]]</f>
        <v>100000</v>
      </c>
    </row>
    <row r="27" spans="2:25" x14ac:dyDescent="0.3">
      <c r="B27" s="1">
        <v>25</v>
      </c>
      <c r="C27" t="s">
        <v>104</v>
      </c>
      <c r="E27" s="1">
        <v>1</v>
      </c>
      <c r="H27" s="1">
        <f>E27*10</f>
        <v>10</v>
      </c>
      <c r="I27" s="1">
        <f>E27*25</f>
        <v>25</v>
      </c>
      <c r="J27" s="1">
        <f>E27*50</f>
        <v>50</v>
      </c>
      <c r="K27" s="1">
        <f>E27*100</f>
        <v>100</v>
      </c>
      <c r="L27" s="1">
        <f>E27*500</f>
        <v>500</v>
      </c>
      <c r="M27" s="1">
        <f>E27*1000</f>
        <v>1000</v>
      </c>
      <c r="N27" s="4">
        <v>65</v>
      </c>
      <c r="O27" s="4">
        <v>65</v>
      </c>
      <c r="P27" s="4">
        <v>65</v>
      </c>
      <c r="Q27" s="4">
        <v>65</v>
      </c>
      <c r="R27" s="4">
        <v>65</v>
      </c>
      <c r="S27" s="4">
        <v>65</v>
      </c>
      <c r="T27" s="1">
        <f>Table2[[#This Row],[Price@10]]*Table2[[#This Row],[Total Qty 10]]</f>
        <v>650</v>
      </c>
      <c r="U27" s="1">
        <f>Table2[[#This Row],[Price@25]]*Table2[[#This Row],[Total Qty 25]]</f>
        <v>1625</v>
      </c>
      <c r="V27" s="1">
        <f>Table2[[#This Row],[Price@50]]*Table2[[#This Row],[Total Qty 50]]</f>
        <v>3250</v>
      </c>
      <c r="W27" s="1">
        <f>Table2[[#This Row],[Price@100]]*Table2[[#This Row],[Total Qty 100]]</f>
        <v>6500</v>
      </c>
      <c r="X27" s="1">
        <f>Table2[[#This Row],[Price@500]]*Table2[[#This Row],[Total Qty 500]]</f>
        <v>32500</v>
      </c>
      <c r="Y27" s="1">
        <f>Table2[[#This Row],[Price@1000]]*Table2[[#This Row],[Total Qty 1000]]</f>
        <v>65000</v>
      </c>
    </row>
    <row r="28" spans="2:25" x14ac:dyDescent="0.3">
      <c r="B28" s="1">
        <v>26</v>
      </c>
      <c r="C28" t="s">
        <v>100</v>
      </c>
      <c r="E28" s="1">
        <v>1</v>
      </c>
      <c r="H28" s="1">
        <f t="shared" si="0"/>
        <v>10</v>
      </c>
      <c r="I28" s="1">
        <f t="shared" si="1"/>
        <v>25</v>
      </c>
      <c r="J28" s="1">
        <f t="shared" si="2"/>
        <v>50</v>
      </c>
      <c r="K28" s="1">
        <f t="shared" si="3"/>
        <v>100</v>
      </c>
      <c r="L28" s="1">
        <f t="shared" si="4"/>
        <v>500</v>
      </c>
      <c r="M28" s="1">
        <f t="shared" si="5"/>
        <v>1000</v>
      </c>
      <c r="N28" s="4">
        <v>150</v>
      </c>
      <c r="O28" s="4">
        <v>150</v>
      </c>
      <c r="P28" s="4">
        <v>150</v>
      </c>
      <c r="Q28" s="4">
        <v>150</v>
      </c>
      <c r="R28" s="4">
        <v>150</v>
      </c>
      <c r="S28" s="4">
        <v>150</v>
      </c>
      <c r="T28" s="1">
        <f>Table2[[#This Row],[Price@10]]*Table2[[#This Row],[Total Qty 10]]</f>
        <v>1500</v>
      </c>
      <c r="U28" s="1">
        <f>Table2[[#This Row],[Price@25]]*Table2[[#This Row],[Total Qty 25]]</f>
        <v>3750</v>
      </c>
      <c r="V28" s="1">
        <f>Table2[[#This Row],[Price@50]]*Table2[[#This Row],[Total Qty 50]]</f>
        <v>7500</v>
      </c>
      <c r="W28" s="1">
        <f>Table2[[#This Row],[Price@100]]*Table2[[#This Row],[Total Qty 100]]</f>
        <v>15000</v>
      </c>
      <c r="X28" s="1">
        <f>Table2[[#This Row],[Price@500]]*Table2[[#This Row],[Total Qty 500]]</f>
        <v>75000</v>
      </c>
      <c r="Y28" s="1">
        <f>Table2[[#This Row],[Price@1000]]*Table2[[#This Row],[Total Qty 1000]]</f>
        <v>150000</v>
      </c>
    </row>
    <row r="29" spans="2:25" x14ac:dyDescent="0.3">
      <c r="S29" s="1" t="s">
        <v>103</v>
      </c>
      <c r="T29" s="6">
        <f>SUMPRODUCT(Table2[Total Price@10])</f>
        <v>19526.673999999999</v>
      </c>
      <c r="U29" s="6">
        <f>SUMPRODUCT(Table2[Total Price@25])</f>
        <v>44864.155664000005</v>
      </c>
      <c r="V29" s="6">
        <f>SUMPRODUCT(Table2[Total  Price@50])</f>
        <v>86139.871024000007</v>
      </c>
      <c r="W29" s="6">
        <f>SUMPRODUCT(Table2[Total Price@100])</f>
        <v>162929.07809600001</v>
      </c>
      <c r="X29" s="6">
        <f>SUMPRODUCT(Table2[Total Price@500])</f>
        <v>711589.221792</v>
      </c>
      <c r="Y29" s="6">
        <f>SUMPRODUCT(Table2[Total  Price@1000])</f>
        <v>1357342.42068</v>
      </c>
    </row>
    <row r="30" spans="2:25" x14ac:dyDescent="0.3">
      <c r="S30" s="1" t="s">
        <v>102</v>
      </c>
      <c r="T30" s="6">
        <f>T29/10</f>
        <v>1952.6673999999998</v>
      </c>
      <c r="U30" s="6">
        <f>U29/25</f>
        <v>1794.5662265600001</v>
      </c>
      <c r="V30" s="6">
        <f>V29/50</f>
        <v>1722.7974204800003</v>
      </c>
      <c r="W30" s="6">
        <f>W29/100</f>
        <v>1629.2907809600001</v>
      </c>
      <c r="X30" s="6">
        <f>X29/500</f>
        <v>1423.178443584</v>
      </c>
      <c r="Y30" s="6">
        <f>Y29/1000</f>
        <v>1357.34242068</v>
      </c>
    </row>
    <row r="31" spans="2:25" x14ac:dyDescent="0.3">
      <c r="R31" s="1" t="s">
        <v>109</v>
      </c>
      <c r="T31" s="6">
        <f>6.2+13.8</f>
        <v>20</v>
      </c>
      <c r="U31" s="6">
        <f>13.6+13.08</f>
        <v>26.68</v>
      </c>
      <c r="V31" s="6">
        <f>24.3+13.08</f>
        <v>37.380000000000003</v>
      </c>
      <c r="W31" s="6">
        <f>34.7+27.32</f>
        <v>62.02</v>
      </c>
      <c r="X31" s="6">
        <f>117.5+63.54</f>
        <v>181.04</v>
      </c>
      <c r="Y31" s="6">
        <f>221.2+106.65</f>
        <v>327.85</v>
      </c>
    </row>
    <row r="32" spans="2:25" x14ac:dyDescent="0.3">
      <c r="R32" s="1" t="s">
        <v>107</v>
      </c>
      <c r="S32" s="5">
        <v>0.3</v>
      </c>
      <c r="T32" s="6">
        <f t="shared" ref="T32:Y32" si="7">T31*30/100</f>
        <v>6</v>
      </c>
      <c r="U32" s="6">
        <f t="shared" si="7"/>
        <v>8.0039999999999996</v>
      </c>
      <c r="V32" s="6">
        <f t="shared" si="7"/>
        <v>11.214</v>
      </c>
      <c r="W32" s="6">
        <f t="shared" si="7"/>
        <v>18.606000000000002</v>
      </c>
      <c r="X32" s="6">
        <f t="shared" si="7"/>
        <v>54.311999999999998</v>
      </c>
      <c r="Y32" s="6">
        <f t="shared" si="7"/>
        <v>98.355000000000004</v>
      </c>
    </row>
    <row r="33" spans="18:25" x14ac:dyDescent="0.3">
      <c r="R33" s="1" t="s">
        <v>111</v>
      </c>
      <c r="S33" s="5">
        <v>0.15</v>
      </c>
      <c r="T33" s="6">
        <f t="shared" ref="T33:Y33" si="8">T32*15/100</f>
        <v>0.9</v>
      </c>
      <c r="U33" s="6">
        <f t="shared" si="8"/>
        <v>1.2005999999999999</v>
      </c>
      <c r="V33" s="6">
        <f t="shared" si="8"/>
        <v>1.6821000000000002</v>
      </c>
      <c r="W33" s="6">
        <f t="shared" si="8"/>
        <v>2.7909000000000002</v>
      </c>
      <c r="X33" s="6">
        <f t="shared" si="8"/>
        <v>8.1467999999999989</v>
      </c>
      <c r="Y33" s="6">
        <f t="shared" si="8"/>
        <v>14.753250000000001</v>
      </c>
    </row>
    <row r="34" spans="18:25" x14ac:dyDescent="0.3">
      <c r="R34" s="1" t="s">
        <v>108</v>
      </c>
      <c r="S34" s="5">
        <v>0.18</v>
      </c>
      <c r="T34" s="6">
        <f t="shared" ref="T34:Y34" si="9">((T32+T33)*18/100)</f>
        <v>1.242</v>
      </c>
      <c r="U34" s="6">
        <f t="shared" si="9"/>
        <v>1.656828</v>
      </c>
      <c r="V34" s="6">
        <f t="shared" si="9"/>
        <v>2.3212980000000001</v>
      </c>
      <c r="W34" s="6">
        <f t="shared" si="9"/>
        <v>3.8514420000000005</v>
      </c>
      <c r="X34" s="6">
        <f t="shared" si="9"/>
        <v>11.242583999999999</v>
      </c>
      <c r="Y34" s="6">
        <f t="shared" si="9"/>
        <v>20.359484999999999</v>
      </c>
    </row>
    <row r="35" spans="18:25" x14ac:dyDescent="0.3">
      <c r="R35" s="1" t="s">
        <v>110</v>
      </c>
      <c r="T35" s="6">
        <f t="shared" ref="T35:Y35" si="10">SUM(T32:T34)</f>
        <v>8.1419999999999995</v>
      </c>
      <c r="U35" s="6">
        <f t="shared" si="10"/>
        <v>10.861428</v>
      </c>
      <c r="V35" s="6">
        <f t="shared" si="10"/>
        <v>15.217398000000001</v>
      </c>
      <c r="W35" s="6">
        <f t="shared" si="10"/>
        <v>25.248342000000001</v>
      </c>
      <c r="X35" s="6">
        <f t="shared" si="10"/>
        <v>73.70138399999999</v>
      </c>
      <c r="Y35" s="6">
        <f t="shared" si="10"/>
        <v>133.467735</v>
      </c>
    </row>
    <row r="36" spans="18:25" x14ac:dyDescent="0.3">
      <c r="R36" s="1" t="s">
        <v>112</v>
      </c>
      <c r="T36" s="6">
        <f t="shared" ref="T36:Y36" si="11">T35+T31</f>
        <v>28.141999999999999</v>
      </c>
      <c r="U36" s="6">
        <f t="shared" si="11"/>
        <v>37.541427999999996</v>
      </c>
      <c r="V36" s="6">
        <f t="shared" si="11"/>
        <v>52.597398000000005</v>
      </c>
      <c r="W36" s="6">
        <f t="shared" si="11"/>
        <v>87.268342000000004</v>
      </c>
      <c r="X36" s="6">
        <f t="shared" si="11"/>
        <v>254.74138399999998</v>
      </c>
      <c r="Y36" s="6">
        <f t="shared" si="11"/>
        <v>461.31773500000003</v>
      </c>
    </row>
    <row r="37" spans="18:25" x14ac:dyDescent="0.3">
      <c r="R37" s="1" t="s">
        <v>113</v>
      </c>
      <c r="T37" s="6">
        <f>T36/10</f>
        <v>2.8142</v>
      </c>
      <c r="U37" s="6">
        <f>U36/25</f>
        <v>1.50165712</v>
      </c>
      <c r="V37" s="6">
        <f>V36/50</f>
        <v>1.0519479600000001</v>
      </c>
      <c r="W37" s="6">
        <f>W36/100</f>
        <v>0.87268341999999999</v>
      </c>
      <c r="X37" s="6">
        <f>X36/500</f>
        <v>0.50948276799999992</v>
      </c>
      <c r="Y37" s="6">
        <f>Y36/1000</f>
        <v>0.46131773500000001</v>
      </c>
    </row>
    <row r="38" spans="18:25" x14ac:dyDescent="0.3">
      <c r="R38" s="1" t="s">
        <v>114</v>
      </c>
      <c r="S38" s="1">
        <v>88</v>
      </c>
      <c r="T38" s="6">
        <f>T37*S38</f>
        <v>247.64959999999999</v>
      </c>
      <c r="U38" s="6">
        <f>U37*S38</f>
        <v>132.14582655999999</v>
      </c>
      <c r="V38" s="6">
        <f>V37*S38</f>
        <v>92.571420480000015</v>
      </c>
      <c r="W38" s="6">
        <f>W37*S38</f>
        <v>76.796140960000002</v>
      </c>
      <c r="X38" s="6">
        <f>S38*X37</f>
        <v>44.83448358399999</v>
      </c>
      <c r="Y38" s="6">
        <f>Y37*S38</f>
        <v>40.595960679999997</v>
      </c>
    </row>
    <row r="39" spans="18:25" x14ac:dyDescent="0.3">
      <c r="S39" s="1">
        <f>T36*S38</f>
        <v>2476.4960000000001</v>
      </c>
    </row>
    <row r="40" spans="18:25" x14ac:dyDescent="0.3">
      <c r="S40" s="1">
        <v>40</v>
      </c>
      <c r="T40" s="7">
        <f>T30*S40/100</f>
        <v>781.06695999999999</v>
      </c>
      <c r="U40" s="7">
        <f>U30*S40/100</f>
        <v>717.82649062400003</v>
      </c>
      <c r="V40" s="7">
        <f>V30*S40/100</f>
        <v>689.11896819200012</v>
      </c>
      <c r="W40" s="7">
        <f>W30*S40/100</f>
        <v>651.71631238400005</v>
      </c>
      <c r="X40" s="7">
        <f>X30*S40/100</f>
        <v>569.27137743360004</v>
      </c>
      <c r="Y40" s="7">
        <f>Y30*S40/100</f>
        <v>542.93696827200006</v>
      </c>
    </row>
    <row r="41" spans="18:25" x14ac:dyDescent="0.3">
      <c r="S41" s="1" t="s">
        <v>115</v>
      </c>
      <c r="T41" s="7">
        <f>T30+T40</f>
        <v>2733.7343599999999</v>
      </c>
      <c r="U41" s="7">
        <f>U30+U40</f>
        <v>2512.392717184</v>
      </c>
      <c r="V41" s="7">
        <f t="shared" ref="V41:X41" si="12">V30+V40</f>
        <v>2411.9163886720003</v>
      </c>
      <c r="W41" s="7">
        <f t="shared" si="12"/>
        <v>2281.0070933440002</v>
      </c>
      <c r="X41" s="7">
        <f t="shared" si="12"/>
        <v>1992.4498210176</v>
      </c>
      <c r="Y41" s="7">
        <f>Y30+Y40</f>
        <v>1900.2793889520001</v>
      </c>
    </row>
    <row r="42" spans="18:25" x14ac:dyDescent="0.3">
      <c r="T42" s="7">
        <f t="shared" ref="T42:X42" si="13">T40*1000</f>
        <v>781066.96</v>
      </c>
      <c r="U42" s="7">
        <f t="shared" si="13"/>
        <v>717826.49062400009</v>
      </c>
      <c r="V42" s="7">
        <f t="shared" si="13"/>
        <v>689118.96819200017</v>
      </c>
      <c r="W42" s="7">
        <f t="shared" si="13"/>
        <v>651716.31238400005</v>
      </c>
      <c r="X42" s="7">
        <f t="shared" si="13"/>
        <v>569271.37743360002</v>
      </c>
      <c r="Y42" s="7">
        <f>Y40*1000</f>
        <v>542936.96827200009</v>
      </c>
    </row>
    <row r="44" spans="18:25" x14ac:dyDescent="0.3">
      <c r="T44" s="7">
        <f>$T$30-U30</f>
        <v>158.10117343999968</v>
      </c>
      <c r="U44" s="7">
        <f>T44*100/T30</f>
        <v>8.0966770603124587</v>
      </c>
    </row>
    <row r="45" spans="18:25" x14ac:dyDescent="0.3">
      <c r="T45" s="7">
        <f>$T$30-V30</f>
        <v>229.86997951999956</v>
      </c>
      <c r="U45" s="7">
        <f>T45*100/T30</f>
        <v>11.772101051105762</v>
      </c>
    </row>
    <row r="46" spans="18:25" x14ac:dyDescent="0.3">
      <c r="T46" s="7">
        <f>$T$30-W30</f>
        <v>323.3766190399997</v>
      </c>
      <c r="U46" s="7">
        <f>T46*100/T30</f>
        <v>16.560762935869146</v>
      </c>
    </row>
    <row r="47" spans="18:25" x14ac:dyDescent="0.3">
      <c r="T47" s="7">
        <f>$T$30-X30</f>
        <v>529.48895641599984</v>
      </c>
      <c r="U47" s="7">
        <f>T47*100/T30</f>
        <v>27.11618765264376</v>
      </c>
      <c r="W47" s="1" t="s">
        <v>116</v>
      </c>
    </row>
    <row r="48" spans="18:25" x14ac:dyDescent="0.3">
      <c r="T48" s="7">
        <f>$T$30-Y30</f>
        <v>595.32497931999978</v>
      </c>
      <c r="U48" s="7">
        <f>T48*100/T30</f>
        <v>30.487781960204785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6EEAE-D612-49BF-8977-84533A41BDA7}">
  <dimension ref="B2:G28"/>
  <sheetViews>
    <sheetView tabSelected="1" zoomScale="85" zoomScaleNormal="85" workbookViewId="0">
      <selection activeCell="B2" sqref="B2:G24"/>
    </sheetView>
  </sheetViews>
  <sheetFormatPr defaultRowHeight="14.4" x14ac:dyDescent="0.3"/>
  <cols>
    <col min="2" max="2" width="7.5546875" style="1" customWidth="1"/>
    <col min="3" max="3" width="32.21875" customWidth="1"/>
    <col min="4" max="4" width="25.5546875" customWidth="1"/>
    <col min="5" max="5" width="13.44140625" style="1" bestFit="1" customWidth="1"/>
    <col min="6" max="6" width="30.109375" hidden="1" customWidth="1"/>
    <col min="7" max="7" width="34.6640625" hidden="1" customWidth="1"/>
  </cols>
  <sheetData>
    <row r="2" spans="2:7" x14ac:dyDescent="0.3">
      <c r="B2" s="1" t="s">
        <v>81</v>
      </c>
      <c r="C2" t="s">
        <v>0</v>
      </c>
      <c r="D2" t="s">
        <v>1</v>
      </c>
      <c r="E2" s="1" t="s">
        <v>2</v>
      </c>
      <c r="F2" t="s">
        <v>3</v>
      </c>
      <c r="G2" t="s">
        <v>4</v>
      </c>
    </row>
    <row r="3" spans="2:7" x14ac:dyDescent="0.3">
      <c r="B3" s="1">
        <v>1</v>
      </c>
      <c r="C3" s="2" t="s">
        <v>6</v>
      </c>
      <c r="D3" s="2" t="s">
        <v>7</v>
      </c>
      <c r="E3" s="1">
        <v>7</v>
      </c>
      <c r="F3" s="2" t="s">
        <v>8</v>
      </c>
      <c r="G3" s="2" t="s">
        <v>9</v>
      </c>
    </row>
    <row r="4" spans="2:7" x14ac:dyDescent="0.3">
      <c r="B4" s="1">
        <v>2</v>
      </c>
      <c r="C4" s="2" t="s">
        <v>10</v>
      </c>
      <c r="D4" s="2" t="s">
        <v>11</v>
      </c>
      <c r="E4" s="1">
        <v>4</v>
      </c>
      <c r="F4" s="2" t="s">
        <v>8</v>
      </c>
      <c r="G4" s="2" t="s">
        <v>105</v>
      </c>
    </row>
    <row r="5" spans="2:7" x14ac:dyDescent="0.3">
      <c r="B5" s="1">
        <v>3</v>
      </c>
      <c r="C5" s="2" t="s">
        <v>12</v>
      </c>
      <c r="D5" s="2" t="s">
        <v>13</v>
      </c>
      <c r="E5" s="1">
        <v>2</v>
      </c>
      <c r="F5" s="2" t="s">
        <v>14</v>
      </c>
      <c r="G5" s="2" t="s">
        <v>15</v>
      </c>
    </row>
    <row r="6" spans="2:7" x14ac:dyDescent="0.3">
      <c r="B6" s="1">
        <v>4</v>
      </c>
      <c r="C6" s="2" t="s">
        <v>16</v>
      </c>
      <c r="D6" s="2" t="s">
        <v>17</v>
      </c>
      <c r="E6" s="1">
        <v>2</v>
      </c>
      <c r="F6" s="2" t="s">
        <v>18</v>
      </c>
      <c r="G6" s="2" t="s">
        <v>19</v>
      </c>
    </row>
    <row r="7" spans="2:7" x14ac:dyDescent="0.3">
      <c r="B7" s="1">
        <v>5</v>
      </c>
      <c r="C7" s="2" t="s">
        <v>20</v>
      </c>
      <c r="D7" s="2" t="s">
        <v>21</v>
      </c>
      <c r="E7" s="1">
        <v>2</v>
      </c>
      <c r="F7" s="2" t="s">
        <v>22</v>
      </c>
      <c r="G7" s="2" t="s">
        <v>22</v>
      </c>
    </row>
    <row r="8" spans="2:7" hidden="1" x14ac:dyDescent="0.3">
      <c r="B8" s="1">
        <v>6</v>
      </c>
      <c r="C8" s="2" t="s">
        <v>23</v>
      </c>
      <c r="D8" s="2" t="s">
        <v>24</v>
      </c>
      <c r="E8" s="1">
        <v>1</v>
      </c>
    </row>
    <row r="9" spans="2:7" x14ac:dyDescent="0.3">
      <c r="B9" s="1">
        <v>7</v>
      </c>
      <c r="C9" s="2" t="s">
        <v>25</v>
      </c>
      <c r="D9" s="2" t="s">
        <v>26</v>
      </c>
      <c r="E9" s="1">
        <v>1</v>
      </c>
      <c r="F9" s="2" t="s">
        <v>27</v>
      </c>
      <c r="G9" s="2" t="s">
        <v>28</v>
      </c>
    </row>
    <row r="10" spans="2:7" x14ac:dyDescent="0.3">
      <c r="B10" s="1">
        <v>8</v>
      </c>
      <c r="C10" s="2" t="s">
        <v>29</v>
      </c>
      <c r="D10" s="2" t="s">
        <v>30</v>
      </c>
      <c r="E10" s="1">
        <v>1</v>
      </c>
      <c r="F10" s="2" t="s">
        <v>31</v>
      </c>
      <c r="G10" s="2" t="s">
        <v>32</v>
      </c>
    </row>
    <row r="11" spans="2:7" hidden="1" x14ac:dyDescent="0.3">
      <c r="B11" s="1">
        <v>9</v>
      </c>
      <c r="C11" s="2" t="s">
        <v>33</v>
      </c>
      <c r="D11" s="2" t="s">
        <v>34</v>
      </c>
      <c r="E11" s="1">
        <v>1</v>
      </c>
      <c r="F11" s="2" t="s">
        <v>35</v>
      </c>
      <c r="G11" s="2" t="s">
        <v>36</v>
      </c>
    </row>
    <row r="12" spans="2:7" x14ac:dyDescent="0.3">
      <c r="B12" s="1">
        <v>10</v>
      </c>
      <c r="C12" s="2" t="s">
        <v>37</v>
      </c>
      <c r="D12" s="2" t="s">
        <v>38</v>
      </c>
      <c r="E12" s="1">
        <v>1</v>
      </c>
      <c r="F12" s="2" t="s">
        <v>39</v>
      </c>
      <c r="G12" s="2" t="s">
        <v>40</v>
      </c>
    </row>
    <row r="13" spans="2:7" x14ac:dyDescent="0.3">
      <c r="B13" s="1">
        <v>11</v>
      </c>
      <c r="C13" s="2" t="s">
        <v>41</v>
      </c>
      <c r="D13" s="2" t="s">
        <v>42</v>
      </c>
      <c r="E13" s="1">
        <v>3</v>
      </c>
      <c r="F13" s="2" t="s">
        <v>43</v>
      </c>
      <c r="G13" s="2" t="s">
        <v>44</v>
      </c>
    </row>
    <row r="14" spans="2:7" x14ac:dyDescent="0.3">
      <c r="B14" s="1">
        <v>12</v>
      </c>
      <c r="C14" s="2" t="s">
        <v>45</v>
      </c>
      <c r="D14" s="2" t="s">
        <v>46</v>
      </c>
      <c r="E14" s="1">
        <v>8</v>
      </c>
      <c r="F14" s="2" t="s">
        <v>39</v>
      </c>
      <c r="G14" s="2" t="s">
        <v>47</v>
      </c>
    </row>
    <row r="15" spans="2:7" x14ac:dyDescent="0.3">
      <c r="B15" s="1">
        <v>13</v>
      </c>
      <c r="C15" s="2" t="s">
        <v>48</v>
      </c>
      <c r="D15" s="2" t="s">
        <v>49</v>
      </c>
      <c r="E15" s="1">
        <v>2</v>
      </c>
      <c r="F15" s="2" t="s">
        <v>14</v>
      </c>
      <c r="G15" s="2" t="s">
        <v>50</v>
      </c>
    </row>
    <row r="16" spans="2:7" x14ac:dyDescent="0.3">
      <c r="B16" s="1">
        <v>14</v>
      </c>
      <c r="C16" s="2" t="s">
        <v>51</v>
      </c>
      <c r="D16" s="2" t="s">
        <v>52</v>
      </c>
      <c r="E16" s="1">
        <v>2</v>
      </c>
      <c r="F16" s="2" t="s">
        <v>39</v>
      </c>
      <c r="G16" s="2" t="s">
        <v>53</v>
      </c>
    </row>
    <row r="17" spans="2:7" x14ac:dyDescent="0.3">
      <c r="B17" s="1">
        <v>15</v>
      </c>
      <c r="C17" s="2" t="s">
        <v>54</v>
      </c>
      <c r="D17" s="2" t="s">
        <v>55</v>
      </c>
      <c r="E17" s="1">
        <v>2</v>
      </c>
      <c r="F17" s="2" t="s">
        <v>56</v>
      </c>
      <c r="G17" s="2" t="s">
        <v>106</v>
      </c>
    </row>
    <row r="18" spans="2:7" x14ac:dyDescent="0.3">
      <c r="B18" s="1">
        <v>16</v>
      </c>
      <c r="C18" s="2" t="s">
        <v>57</v>
      </c>
      <c r="D18" s="2" t="s">
        <v>58</v>
      </c>
      <c r="E18" s="1">
        <v>1</v>
      </c>
      <c r="F18" s="2" t="s">
        <v>59</v>
      </c>
      <c r="G18" s="2" t="s">
        <v>60</v>
      </c>
    </row>
    <row r="19" spans="2:7" x14ac:dyDescent="0.3">
      <c r="B19" s="1">
        <v>17</v>
      </c>
      <c r="C19" s="2" t="s">
        <v>61</v>
      </c>
      <c r="D19" s="2" t="s">
        <v>62</v>
      </c>
      <c r="E19" s="1">
        <v>1</v>
      </c>
      <c r="F19" s="2" t="s">
        <v>64</v>
      </c>
      <c r="G19" s="2" t="s">
        <v>63</v>
      </c>
    </row>
    <row r="20" spans="2:7" ht="15" customHeight="1" x14ac:dyDescent="0.3">
      <c r="B20" s="1">
        <v>18</v>
      </c>
      <c r="C20" s="2" t="s">
        <v>65</v>
      </c>
      <c r="D20" s="2" t="s">
        <v>66</v>
      </c>
      <c r="E20" s="1">
        <v>1</v>
      </c>
      <c r="F20" s="2" t="s">
        <v>64</v>
      </c>
      <c r="G20" s="2" t="s">
        <v>67</v>
      </c>
    </row>
    <row r="21" spans="2:7" x14ac:dyDescent="0.3">
      <c r="B21" s="1">
        <v>19</v>
      </c>
      <c r="C21" s="2" t="s">
        <v>68</v>
      </c>
      <c r="D21" s="2" t="s">
        <v>69</v>
      </c>
      <c r="E21" s="1">
        <v>1</v>
      </c>
      <c r="F21" s="2" t="s">
        <v>71</v>
      </c>
      <c r="G21" s="2" t="s">
        <v>70</v>
      </c>
    </row>
    <row r="22" spans="2:7" x14ac:dyDescent="0.3">
      <c r="B22" s="1">
        <v>20</v>
      </c>
      <c r="C22" s="2" t="s">
        <v>72</v>
      </c>
      <c r="D22" s="2" t="s">
        <v>73</v>
      </c>
      <c r="E22" s="1">
        <v>1</v>
      </c>
      <c r="F22" s="2" t="s">
        <v>75</v>
      </c>
      <c r="G22" s="2" t="s">
        <v>74</v>
      </c>
    </row>
    <row r="23" spans="2:7" x14ac:dyDescent="0.3">
      <c r="B23" s="1">
        <v>21</v>
      </c>
      <c r="C23" s="2" t="s">
        <v>76</v>
      </c>
      <c r="D23" s="2" t="s">
        <v>77</v>
      </c>
      <c r="E23" s="1">
        <v>1</v>
      </c>
      <c r="F23" s="2" t="s">
        <v>78</v>
      </c>
      <c r="G23" s="2" t="s">
        <v>79</v>
      </c>
    </row>
    <row r="24" spans="2:7" x14ac:dyDescent="0.3">
      <c r="B24" s="1">
        <v>22</v>
      </c>
      <c r="C24" t="s">
        <v>80</v>
      </c>
      <c r="E24" s="1">
        <v>1</v>
      </c>
    </row>
    <row r="25" spans="2:7" hidden="1" x14ac:dyDescent="0.3">
      <c r="B25" s="1">
        <v>23</v>
      </c>
      <c r="C25" t="s">
        <v>99</v>
      </c>
      <c r="E25" s="1">
        <v>1</v>
      </c>
    </row>
    <row r="26" spans="2:7" hidden="1" x14ac:dyDescent="0.3">
      <c r="B26" s="1">
        <v>24</v>
      </c>
      <c r="C26" t="s">
        <v>101</v>
      </c>
      <c r="E26" s="1">
        <v>1</v>
      </c>
    </row>
    <row r="27" spans="2:7" hidden="1" x14ac:dyDescent="0.3">
      <c r="B27" s="1">
        <v>25</v>
      </c>
      <c r="C27" t="s">
        <v>104</v>
      </c>
      <c r="E27" s="1">
        <v>1</v>
      </c>
    </row>
    <row r="28" spans="2:7" hidden="1" x14ac:dyDescent="0.3">
      <c r="B28" s="1">
        <v>26</v>
      </c>
      <c r="C28" t="s">
        <v>100</v>
      </c>
      <c r="E28" s="1">
        <v>1</v>
      </c>
    </row>
  </sheetData>
  <pageMargins left="0.70866141732283472" right="0.70866141732283472" top="0.74803149606299213" bottom="0.74803149606299213" header="0.31496062992125984" footer="0.31496062992125984"/>
  <pageSetup scale="15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BOM_2505_IDS_DL_BAT</vt:lpstr>
      <vt:lpstr>BOM_2505_IDS_DL_PROD</vt:lpstr>
      <vt:lpstr>BOM_2505_IDS_DL_BAT!Print_Titles</vt:lpstr>
      <vt:lpstr>BOM_2505_IDS_DL_PROD!Print_Titles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Pritesh Patel</dc:creator>
  <cp:lastModifiedBy>Pritesh Patel</cp:lastModifiedBy>
  <cp:lastPrinted>2025-10-31T08:52:35Z</cp:lastPrinted>
  <dcterms:created xsi:type="dcterms:W3CDTF">2025-10-10T04:05:00Z</dcterms:created>
  <dcterms:modified xsi:type="dcterms:W3CDTF">2025-10-31T08:52:40Z</dcterms:modified>
</cp:coreProperties>
</file>